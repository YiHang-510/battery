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code\Battery\test-7.3\累计放电量\"/>
    </mc:Choice>
  </mc:AlternateContent>
  <xr:revisionPtr revIDLastSave="0" documentId="13_ncr:1_{785E7770-30D3-4B44-B60D-E9D66AFC7F2A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1" i="2" l="1"/>
  <c r="Q141" i="2"/>
  <c r="P141" i="2"/>
  <c r="O141" i="2"/>
  <c r="N141" i="2"/>
  <c r="K141" i="2"/>
  <c r="J141" i="2"/>
  <c r="I141" i="2"/>
  <c r="H141" i="2"/>
  <c r="G141" i="2"/>
  <c r="R140" i="2"/>
  <c r="Q140" i="2"/>
  <c r="P140" i="2"/>
  <c r="O140" i="2"/>
  <c r="N140" i="2"/>
  <c r="K140" i="2"/>
  <c r="J140" i="2"/>
  <c r="I140" i="2"/>
  <c r="H140" i="2"/>
  <c r="G140" i="2"/>
  <c r="R134" i="2"/>
  <c r="Q134" i="2"/>
  <c r="P134" i="2"/>
  <c r="O134" i="2"/>
  <c r="N134" i="2"/>
  <c r="K134" i="2"/>
  <c r="J134" i="2"/>
  <c r="I134" i="2"/>
  <c r="H134" i="2"/>
  <c r="G134" i="2"/>
  <c r="R133" i="2"/>
  <c r="Q133" i="2"/>
  <c r="P133" i="2"/>
  <c r="O133" i="2"/>
  <c r="N133" i="2"/>
  <c r="K133" i="2"/>
  <c r="J133" i="2"/>
  <c r="I133" i="2"/>
  <c r="H133" i="2"/>
  <c r="G133" i="2"/>
  <c r="R127" i="2"/>
  <c r="Q127" i="2"/>
  <c r="P127" i="2"/>
  <c r="O127" i="2"/>
  <c r="N127" i="2"/>
  <c r="K127" i="2"/>
  <c r="J127" i="2"/>
  <c r="I127" i="2"/>
  <c r="H127" i="2"/>
  <c r="G127" i="2"/>
  <c r="R126" i="2"/>
  <c r="Q126" i="2"/>
  <c r="P126" i="2"/>
  <c r="O126" i="2"/>
  <c r="N126" i="2"/>
  <c r="K126" i="2"/>
  <c r="J126" i="2"/>
  <c r="I126" i="2"/>
  <c r="H126" i="2"/>
  <c r="G126" i="2"/>
  <c r="R120" i="2"/>
  <c r="Q120" i="2"/>
  <c r="P120" i="2"/>
  <c r="O120" i="2"/>
  <c r="N120" i="2"/>
  <c r="K120" i="2"/>
  <c r="J120" i="2"/>
  <c r="I120" i="2"/>
  <c r="H120" i="2"/>
  <c r="G120" i="2"/>
  <c r="R119" i="2"/>
  <c r="Q119" i="2"/>
  <c r="P119" i="2"/>
  <c r="O119" i="2"/>
  <c r="N119" i="2"/>
  <c r="K119" i="2"/>
  <c r="J119" i="2"/>
  <c r="I119" i="2"/>
  <c r="H119" i="2"/>
  <c r="G119" i="2"/>
  <c r="R113" i="2"/>
  <c r="Q113" i="2"/>
  <c r="P113" i="2"/>
  <c r="O113" i="2"/>
  <c r="N113" i="2"/>
  <c r="K113" i="2"/>
  <c r="J113" i="2"/>
  <c r="I113" i="2"/>
  <c r="H113" i="2"/>
  <c r="G113" i="2"/>
  <c r="R112" i="2"/>
  <c r="Q112" i="2"/>
  <c r="P112" i="2"/>
  <c r="O112" i="2"/>
  <c r="N112" i="2"/>
  <c r="K112" i="2"/>
  <c r="J112" i="2"/>
  <c r="I112" i="2"/>
  <c r="H112" i="2"/>
  <c r="G112" i="2"/>
  <c r="R106" i="2"/>
  <c r="Q106" i="2"/>
  <c r="P106" i="2"/>
  <c r="O106" i="2"/>
  <c r="N106" i="2"/>
  <c r="K106" i="2"/>
  <c r="J106" i="2"/>
  <c r="I106" i="2"/>
  <c r="H106" i="2"/>
  <c r="G106" i="2"/>
  <c r="R105" i="2"/>
  <c r="Q105" i="2"/>
  <c r="P105" i="2"/>
  <c r="O105" i="2"/>
  <c r="N105" i="2"/>
  <c r="K105" i="2"/>
  <c r="J105" i="2"/>
  <c r="I105" i="2"/>
  <c r="H105" i="2"/>
  <c r="G105" i="2"/>
  <c r="R99" i="2"/>
  <c r="Q99" i="2"/>
  <c r="P99" i="2"/>
  <c r="O99" i="2"/>
  <c r="N99" i="2"/>
  <c r="K99" i="2"/>
  <c r="J99" i="2"/>
  <c r="I99" i="2"/>
  <c r="H99" i="2"/>
  <c r="G99" i="2"/>
  <c r="R98" i="2"/>
  <c r="Q98" i="2"/>
  <c r="P98" i="2"/>
  <c r="O98" i="2"/>
  <c r="N98" i="2"/>
  <c r="K98" i="2"/>
  <c r="J98" i="2"/>
  <c r="I98" i="2"/>
  <c r="H98" i="2"/>
  <c r="G98" i="2"/>
  <c r="R92" i="2"/>
  <c r="Q92" i="2"/>
  <c r="P92" i="2"/>
  <c r="O92" i="2"/>
  <c r="N92" i="2"/>
  <c r="K92" i="2"/>
  <c r="J92" i="2"/>
  <c r="I92" i="2"/>
  <c r="H92" i="2"/>
  <c r="G92" i="2"/>
  <c r="R91" i="2"/>
  <c r="Q91" i="2"/>
  <c r="P91" i="2"/>
  <c r="O91" i="2"/>
  <c r="N91" i="2"/>
  <c r="K91" i="2"/>
  <c r="J91" i="2"/>
  <c r="I91" i="2"/>
  <c r="H91" i="2"/>
  <c r="G91" i="2"/>
  <c r="R85" i="2"/>
  <c r="Q85" i="2"/>
  <c r="P85" i="2"/>
  <c r="O85" i="2"/>
  <c r="N85" i="2"/>
  <c r="K85" i="2"/>
  <c r="J85" i="2"/>
  <c r="I85" i="2"/>
  <c r="H85" i="2"/>
  <c r="G85" i="2"/>
  <c r="R84" i="2"/>
  <c r="Q84" i="2"/>
  <c r="P84" i="2"/>
  <c r="O84" i="2"/>
  <c r="N84" i="2"/>
  <c r="K84" i="2"/>
  <c r="J84" i="2"/>
  <c r="I84" i="2"/>
  <c r="H84" i="2"/>
  <c r="G84" i="2"/>
  <c r="R78" i="2"/>
  <c r="Q78" i="2"/>
  <c r="P78" i="2"/>
  <c r="O78" i="2"/>
  <c r="N78" i="2"/>
  <c r="K78" i="2"/>
  <c r="J78" i="2"/>
  <c r="I78" i="2"/>
  <c r="H78" i="2"/>
  <c r="G78" i="2"/>
  <c r="R77" i="2"/>
  <c r="Q77" i="2"/>
  <c r="P77" i="2"/>
  <c r="O77" i="2"/>
  <c r="N77" i="2"/>
  <c r="K77" i="2"/>
  <c r="J77" i="2"/>
  <c r="I77" i="2"/>
  <c r="H77" i="2"/>
  <c r="G77" i="2"/>
  <c r="AI119" i="2"/>
  <c r="AH119" i="2"/>
  <c r="AG119" i="2"/>
  <c r="AF119" i="2"/>
  <c r="AE119" i="2"/>
  <c r="AB119" i="2"/>
  <c r="AA119" i="2"/>
  <c r="Z119" i="2"/>
  <c r="Y119" i="2"/>
  <c r="X119" i="2"/>
  <c r="AI118" i="2"/>
  <c r="AH118" i="2"/>
  <c r="AG118" i="2"/>
  <c r="AF118" i="2"/>
  <c r="AE118" i="2"/>
  <c r="AB118" i="2"/>
  <c r="AA118" i="2"/>
  <c r="Z118" i="2"/>
  <c r="Y118" i="2"/>
  <c r="X118" i="2"/>
  <c r="AI112" i="2"/>
  <c r="AH112" i="2"/>
  <c r="AG112" i="2"/>
  <c r="AF112" i="2"/>
  <c r="AE112" i="2"/>
  <c r="AB112" i="2"/>
  <c r="AA112" i="2"/>
  <c r="Z112" i="2"/>
  <c r="Y112" i="2"/>
  <c r="X112" i="2"/>
  <c r="AI111" i="2"/>
  <c r="AH111" i="2"/>
  <c r="AG111" i="2"/>
  <c r="AF111" i="2"/>
  <c r="AE111" i="2"/>
  <c r="AB111" i="2"/>
  <c r="AA111" i="2"/>
  <c r="Z111" i="2"/>
  <c r="Y111" i="2"/>
  <c r="X111" i="2"/>
  <c r="AI105" i="2"/>
  <c r="AH105" i="2"/>
  <c r="AG105" i="2"/>
  <c r="AF105" i="2"/>
  <c r="AE105" i="2"/>
  <c r="AB105" i="2"/>
  <c r="AA105" i="2"/>
  <c r="Z105" i="2"/>
  <c r="Y105" i="2"/>
  <c r="X105" i="2"/>
  <c r="AI104" i="2"/>
  <c r="AH104" i="2"/>
  <c r="AG104" i="2"/>
  <c r="AF104" i="2"/>
  <c r="AE104" i="2"/>
  <c r="AB104" i="2"/>
  <c r="AA104" i="2"/>
  <c r="Z104" i="2"/>
  <c r="Y104" i="2"/>
  <c r="X104" i="2"/>
  <c r="AI98" i="2"/>
  <c r="AH98" i="2"/>
  <c r="AG98" i="2"/>
  <c r="AF98" i="2"/>
  <c r="AE98" i="2"/>
  <c r="AB98" i="2"/>
  <c r="AA98" i="2"/>
  <c r="Z98" i="2"/>
  <c r="Y98" i="2"/>
  <c r="X98" i="2"/>
  <c r="AI97" i="2"/>
  <c r="AH97" i="2"/>
  <c r="AG97" i="2"/>
  <c r="AF97" i="2"/>
  <c r="AE97" i="2"/>
  <c r="AB97" i="2"/>
  <c r="AA97" i="2"/>
  <c r="Z97" i="2"/>
  <c r="Y97" i="2"/>
  <c r="X97" i="2"/>
  <c r="AI89" i="2"/>
  <c r="AH89" i="2"/>
  <c r="AG89" i="2"/>
  <c r="AF89" i="2"/>
  <c r="AE89" i="2"/>
  <c r="AB89" i="2"/>
  <c r="AA89" i="2"/>
  <c r="Z89" i="2"/>
  <c r="Y89" i="2"/>
  <c r="X89" i="2"/>
  <c r="AI88" i="2"/>
  <c r="AH88" i="2"/>
  <c r="AG88" i="2"/>
  <c r="AF88" i="2"/>
  <c r="AE88" i="2"/>
  <c r="AB88" i="2"/>
  <c r="AA88" i="2"/>
  <c r="Z88" i="2"/>
  <c r="Y88" i="2"/>
  <c r="X88" i="2"/>
  <c r="AI82" i="2"/>
  <c r="AH82" i="2"/>
  <c r="AG82" i="2"/>
  <c r="AF82" i="2"/>
  <c r="AE82" i="2"/>
  <c r="AB82" i="2"/>
  <c r="AA82" i="2"/>
  <c r="Z82" i="2"/>
  <c r="Y82" i="2"/>
  <c r="X82" i="2"/>
  <c r="AI81" i="2"/>
  <c r="AH81" i="2"/>
  <c r="AG81" i="2"/>
  <c r="AF81" i="2"/>
  <c r="AE81" i="2"/>
  <c r="AB81" i="2"/>
  <c r="AA81" i="2"/>
  <c r="Z81" i="2"/>
  <c r="Y81" i="2"/>
  <c r="X81" i="2"/>
  <c r="AI75" i="2"/>
  <c r="AH75" i="2"/>
  <c r="AG75" i="2"/>
  <c r="AF75" i="2"/>
  <c r="AE75" i="2"/>
  <c r="AB75" i="2"/>
  <c r="AA75" i="2"/>
  <c r="Z75" i="2"/>
  <c r="Y75" i="2"/>
  <c r="X75" i="2"/>
  <c r="AI74" i="2"/>
  <c r="AH74" i="2"/>
  <c r="AG74" i="2"/>
  <c r="AF74" i="2"/>
  <c r="AE74" i="2"/>
  <c r="AB74" i="2"/>
  <c r="AA74" i="2"/>
  <c r="Z74" i="2"/>
  <c r="Y74" i="2"/>
  <c r="X74" i="2"/>
  <c r="AI68" i="2"/>
  <c r="AH68" i="2"/>
  <c r="AG68" i="2"/>
  <c r="AF68" i="2"/>
  <c r="AE68" i="2"/>
  <c r="AB68" i="2"/>
  <c r="AA68" i="2"/>
  <c r="Z68" i="2"/>
  <c r="Y68" i="2"/>
  <c r="X68" i="2"/>
  <c r="AI67" i="2"/>
  <c r="AH67" i="2"/>
  <c r="AG67" i="2"/>
  <c r="AF67" i="2"/>
  <c r="AE67" i="2"/>
  <c r="AB67" i="2"/>
  <c r="AA67" i="2"/>
  <c r="Z67" i="2"/>
  <c r="Y67" i="2"/>
  <c r="X67" i="2"/>
  <c r="AI59" i="2"/>
  <c r="AH59" i="2"/>
  <c r="AG59" i="2"/>
  <c r="AF59" i="2"/>
  <c r="AE59" i="2"/>
  <c r="AB59" i="2"/>
  <c r="AA59" i="2"/>
  <c r="Z59" i="2"/>
  <c r="Y59" i="2"/>
  <c r="X59" i="2"/>
  <c r="AI58" i="2"/>
  <c r="AH58" i="2"/>
  <c r="AG58" i="2"/>
  <c r="AF58" i="2"/>
  <c r="AE58" i="2"/>
  <c r="AB58" i="2"/>
  <c r="AA58" i="2"/>
  <c r="Z58" i="2"/>
  <c r="Y58" i="2"/>
  <c r="X58" i="2"/>
  <c r="AI52" i="2"/>
  <c r="AH52" i="2"/>
  <c r="AG52" i="2"/>
  <c r="AF52" i="2"/>
  <c r="AE52" i="2"/>
  <c r="AB52" i="2"/>
  <c r="AA52" i="2"/>
  <c r="Z52" i="2"/>
  <c r="Y52" i="2"/>
  <c r="X52" i="2"/>
  <c r="AI51" i="2"/>
  <c r="AH51" i="2"/>
  <c r="AG51" i="2"/>
  <c r="AF51" i="2"/>
  <c r="AE51" i="2"/>
  <c r="AB51" i="2"/>
  <c r="AA51" i="2"/>
  <c r="Z51" i="2"/>
  <c r="Y51" i="2"/>
  <c r="X51" i="2"/>
  <c r="AI45" i="2"/>
  <c r="AH45" i="2"/>
  <c r="AG45" i="2"/>
  <c r="AF45" i="2"/>
  <c r="AE45" i="2"/>
  <c r="AB45" i="2"/>
  <c r="AA45" i="2"/>
  <c r="Z45" i="2"/>
  <c r="Y45" i="2"/>
  <c r="X45" i="2"/>
  <c r="AI44" i="2"/>
  <c r="AH44" i="2"/>
  <c r="AG44" i="2"/>
  <c r="AF44" i="2"/>
  <c r="AE44" i="2"/>
  <c r="AB44" i="2"/>
  <c r="AA44" i="2"/>
  <c r="Z44" i="2"/>
  <c r="Y44" i="2"/>
  <c r="X44" i="2"/>
  <c r="AI38" i="2"/>
  <c r="AH38" i="2"/>
  <c r="AG38" i="2"/>
  <c r="AF38" i="2"/>
  <c r="AE38" i="2"/>
  <c r="AB38" i="2"/>
  <c r="AA38" i="2"/>
  <c r="Z38" i="2"/>
  <c r="Y38" i="2"/>
  <c r="X38" i="2"/>
  <c r="AI37" i="2"/>
  <c r="AH37" i="2"/>
  <c r="AG37" i="2"/>
  <c r="AF37" i="2"/>
  <c r="AE37" i="2"/>
  <c r="AB37" i="2"/>
  <c r="AA37" i="2"/>
  <c r="Z37" i="2"/>
  <c r="Y37" i="2"/>
  <c r="X37" i="2"/>
  <c r="AI29" i="2"/>
  <c r="AH29" i="2"/>
  <c r="AG29" i="2"/>
  <c r="AF29" i="2"/>
  <c r="AE29" i="2"/>
  <c r="AI28" i="2"/>
  <c r="AH28" i="2"/>
  <c r="AG28" i="2"/>
  <c r="AF28" i="2"/>
  <c r="AE28" i="2"/>
  <c r="AI22" i="2"/>
  <c r="AH22" i="2"/>
  <c r="AG22" i="2"/>
  <c r="AF22" i="2"/>
  <c r="AE22" i="2"/>
  <c r="AI21" i="2"/>
  <c r="AH21" i="2"/>
  <c r="AG21" i="2"/>
  <c r="AF21" i="2"/>
  <c r="AE21" i="2"/>
  <c r="AI15" i="2"/>
  <c r="AH15" i="2"/>
  <c r="AG15" i="2"/>
  <c r="AF15" i="2"/>
  <c r="AE15" i="2"/>
  <c r="AI14" i="2"/>
  <c r="AH14" i="2"/>
  <c r="AG14" i="2"/>
  <c r="AF14" i="2"/>
  <c r="AE14" i="2"/>
  <c r="AI8" i="2"/>
  <c r="AH8" i="2"/>
  <c r="AG8" i="2"/>
  <c r="AF8" i="2"/>
  <c r="AE8" i="2"/>
  <c r="AI7" i="2"/>
  <c r="AH7" i="2"/>
  <c r="AG7" i="2"/>
  <c r="AF7" i="2"/>
  <c r="AE7" i="2"/>
  <c r="AB29" i="2"/>
  <c r="AA29" i="2"/>
  <c r="Z29" i="2"/>
  <c r="Y29" i="2"/>
  <c r="X29" i="2"/>
  <c r="AB28" i="2"/>
  <c r="AA28" i="2"/>
  <c r="Z28" i="2"/>
  <c r="Y28" i="2"/>
  <c r="X28" i="2"/>
  <c r="AB22" i="2"/>
  <c r="AA22" i="2"/>
  <c r="Z22" i="2"/>
  <c r="Y22" i="2"/>
  <c r="X22" i="2"/>
  <c r="AB21" i="2"/>
  <c r="AA21" i="2"/>
  <c r="Z21" i="2"/>
  <c r="Y21" i="2"/>
  <c r="X21" i="2"/>
  <c r="AB15" i="2"/>
  <c r="AA15" i="2"/>
  <c r="Z15" i="2"/>
  <c r="Y15" i="2"/>
  <c r="X15" i="2"/>
  <c r="AB14" i="2"/>
  <c r="AA14" i="2"/>
  <c r="Z14" i="2"/>
  <c r="Y14" i="2"/>
  <c r="X14" i="2"/>
  <c r="AB8" i="2"/>
  <c r="AA8" i="2"/>
  <c r="Z8" i="2"/>
  <c r="Y8" i="2"/>
  <c r="X8" i="2"/>
  <c r="AB7" i="2"/>
  <c r="AA7" i="2"/>
  <c r="Z7" i="2"/>
  <c r="Y7" i="2"/>
  <c r="X7" i="2"/>
  <c r="R71" i="2"/>
  <c r="Q71" i="2"/>
  <c r="P71" i="2"/>
  <c r="O71" i="2"/>
  <c r="N71" i="2"/>
  <c r="R70" i="2"/>
  <c r="Q70" i="2"/>
  <c r="P70" i="2"/>
  <c r="O70" i="2"/>
  <c r="N70" i="2"/>
  <c r="R64" i="2"/>
  <c r="Q64" i="2"/>
  <c r="P64" i="2"/>
  <c r="O64" i="2"/>
  <c r="N64" i="2"/>
  <c r="R63" i="2"/>
  <c r="Q63" i="2"/>
  <c r="P63" i="2"/>
  <c r="O63" i="2"/>
  <c r="N63" i="2"/>
  <c r="R57" i="2"/>
  <c r="Q57" i="2"/>
  <c r="P57" i="2"/>
  <c r="O57" i="2"/>
  <c r="N57" i="2"/>
  <c r="R56" i="2"/>
  <c r="Q56" i="2"/>
  <c r="P56" i="2"/>
  <c r="O56" i="2"/>
  <c r="N56" i="2"/>
  <c r="R50" i="2"/>
  <c r="Q50" i="2"/>
  <c r="P50" i="2"/>
  <c r="O50" i="2"/>
  <c r="N50" i="2"/>
  <c r="R49" i="2"/>
  <c r="Q49" i="2"/>
  <c r="P49" i="2"/>
  <c r="O49" i="2"/>
  <c r="N49" i="2"/>
  <c r="R43" i="2"/>
  <c r="Q43" i="2"/>
  <c r="P43" i="2"/>
  <c r="O43" i="2"/>
  <c r="N43" i="2"/>
  <c r="R42" i="2"/>
  <c r="Q42" i="2"/>
  <c r="P42" i="2"/>
  <c r="O42" i="2"/>
  <c r="N42" i="2"/>
  <c r="K71" i="2"/>
  <c r="J71" i="2"/>
  <c r="I71" i="2"/>
  <c r="H71" i="2"/>
  <c r="G71" i="2"/>
  <c r="K70" i="2"/>
  <c r="J70" i="2"/>
  <c r="I70" i="2"/>
  <c r="H70" i="2"/>
  <c r="G70" i="2"/>
  <c r="K64" i="2"/>
  <c r="J64" i="2"/>
  <c r="I64" i="2"/>
  <c r="H64" i="2"/>
  <c r="G64" i="2"/>
  <c r="K63" i="2"/>
  <c r="J63" i="2"/>
  <c r="I63" i="2"/>
  <c r="H63" i="2"/>
  <c r="G63" i="2"/>
  <c r="K57" i="2"/>
  <c r="J57" i="2"/>
  <c r="I57" i="2"/>
  <c r="H57" i="2"/>
  <c r="G57" i="2"/>
  <c r="K56" i="2"/>
  <c r="J56" i="2"/>
  <c r="I56" i="2"/>
  <c r="H56" i="2"/>
  <c r="G56" i="2"/>
  <c r="K50" i="2"/>
  <c r="J50" i="2"/>
  <c r="I50" i="2"/>
  <c r="H50" i="2"/>
  <c r="G50" i="2"/>
  <c r="K49" i="2"/>
  <c r="J49" i="2"/>
  <c r="I49" i="2"/>
  <c r="H49" i="2"/>
  <c r="G49" i="2"/>
  <c r="K43" i="2"/>
  <c r="J43" i="2"/>
  <c r="I43" i="2"/>
  <c r="H43" i="2"/>
  <c r="G43" i="2"/>
  <c r="K42" i="2"/>
  <c r="J42" i="2"/>
  <c r="I42" i="2"/>
  <c r="H42" i="2"/>
  <c r="G42" i="2"/>
  <c r="R36" i="2"/>
  <c r="Q36" i="2"/>
  <c r="P36" i="2"/>
  <c r="O36" i="2"/>
  <c r="N36" i="2"/>
  <c r="R35" i="2"/>
  <c r="Q35" i="2"/>
  <c r="P35" i="2"/>
  <c r="O35" i="2"/>
  <c r="N35" i="2"/>
  <c r="R29" i="2"/>
  <c r="Q29" i="2"/>
  <c r="P29" i="2"/>
  <c r="O29" i="2"/>
  <c r="N29" i="2"/>
  <c r="R28" i="2"/>
  <c r="Q28" i="2"/>
  <c r="P28" i="2"/>
  <c r="O28" i="2"/>
  <c r="N28" i="2"/>
  <c r="R22" i="2"/>
  <c r="Q22" i="2"/>
  <c r="P22" i="2"/>
  <c r="O22" i="2"/>
  <c r="N22" i="2"/>
  <c r="R21" i="2"/>
  <c r="Q21" i="2"/>
  <c r="P21" i="2"/>
  <c r="O21" i="2"/>
  <c r="N21" i="2"/>
  <c r="R15" i="2"/>
  <c r="Q15" i="2"/>
  <c r="P15" i="2"/>
  <c r="O15" i="2"/>
  <c r="N15" i="2"/>
  <c r="R14" i="2"/>
  <c r="Q14" i="2"/>
  <c r="P14" i="2"/>
  <c r="O14" i="2"/>
  <c r="N14" i="2"/>
  <c r="R8" i="2"/>
  <c r="Q8" i="2"/>
  <c r="P8" i="2"/>
  <c r="O8" i="2"/>
  <c r="N8" i="2"/>
  <c r="R7" i="2"/>
  <c r="Q7" i="2"/>
  <c r="P7" i="2"/>
  <c r="O7" i="2"/>
  <c r="N7" i="2"/>
  <c r="K36" i="2"/>
  <c r="J36" i="2"/>
  <c r="I36" i="2"/>
  <c r="H36" i="2"/>
  <c r="G36" i="2"/>
  <c r="K35" i="2"/>
  <c r="J35" i="2"/>
  <c r="I35" i="2"/>
  <c r="H35" i="2"/>
  <c r="G35" i="2"/>
  <c r="K29" i="2"/>
  <c r="J29" i="2"/>
  <c r="I29" i="2"/>
  <c r="H29" i="2"/>
  <c r="G29" i="2"/>
  <c r="K28" i="2"/>
  <c r="J28" i="2"/>
  <c r="I28" i="2"/>
  <c r="H28" i="2"/>
  <c r="G28" i="2"/>
  <c r="K22" i="2"/>
  <c r="J22" i="2"/>
  <c r="I22" i="2"/>
  <c r="H22" i="2"/>
  <c r="G22" i="2"/>
  <c r="K21" i="2"/>
  <c r="J21" i="2"/>
  <c r="I21" i="2"/>
  <c r="H21" i="2"/>
  <c r="G21" i="2"/>
  <c r="K15" i="2"/>
  <c r="J15" i="2"/>
  <c r="I15" i="2"/>
  <c r="H15" i="2"/>
  <c r="G15" i="2"/>
  <c r="K14" i="2"/>
  <c r="J14" i="2"/>
  <c r="I14" i="2"/>
  <c r="H14" i="2"/>
  <c r="G14" i="2"/>
  <c r="H8" i="2"/>
  <c r="I8" i="2"/>
  <c r="J8" i="2"/>
  <c r="K8" i="2"/>
  <c r="G8" i="2"/>
  <c r="H7" i="2"/>
  <c r="I7" i="2"/>
  <c r="J7" i="2"/>
  <c r="K7" i="2"/>
  <c r="G7" i="2"/>
</calcChain>
</file>

<file path=xl/sharedStrings.xml><?xml version="1.0" encoding="utf-8"?>
<sst xmlns="http://schemas.openxmlformats.org/spreadsheetml/2006/main" count="609" uniqueCount="32">
  <si>
    <t>MAE</t>
  </si>
  <si>
    <t>MSE</t>
  </si>
  <si>
    <t>RMSE</t>
  </si>
  <si>
    <t>R2</t>
  </si>
  <si>
    <t>电池</t>
    <phoneticPr fontId="1" type="noConversion"/>
  </si>
  <si>
    <t>训练方式</t>
    <phoneticPr fontId="1" type="noConversion"/>
  </si>
  <si>
    <t>估计</t>
    <phoneticPr fontId="1" type="noConversion"/>
  </si>
  <si>
    <t>网络类型</t>
    <phoneticPr fontId="1" type="noConversion"/>
  </si>
  <si>
    <t>混合</t>
    <phoneticPr fontId="1" type="noConversion"/>
  </si>
  <si>
    <t>单工况</t>
    <phoneticPr fontId="1" type="noConversion"/>
  </si>
  <si>
    <r>
      <rPr>
        <sz val="11"/>
        <color rgb="FFFFFFFF"/>
        <rFont val="等线"/>
        <family val="2"/>
      </rPr>
      <t>方法</t>
    </r>
    <phoneticPr fontId="1" type="noConversion"/>
  </si>
  <si>
    <t>训练轮测</t>
    <phoneticPr fontId="1" type="noConversion"/>
  </si>
  <si>
    <t>Mean</t>
    <phoneticPr fontId="1" type="noConversion"/>
  </si>
  <si>
    <t>STD</t>
    <phoneticPr fontId="1" type="noConversion"/>
  </si>
  <si>
    <t>混合训练</t>
    <phoneticPr fontId="1" type="noConversion"/>
  </si>
  <si>
    <t>估计网络</t>
    <phoneticPr fontId="1" type="noConversion"/>
  </si>
  <si>
    <t>四指数</t>
    <phoneticPr fontId="1" type="noConversion"/>
  </si>
  <si>
    <t>十六指数</t>
    <phoneticPr fontId="1" type="noConversion"/>
  </si>
  <si>
    <t>联合预测
-4指数</t>
    <phoneticPr fontId="1" type="noConversion"/>
  </si>
  <si>
    <t>联合预测
-16指数</t>
    <phoneticPr fontId="1" type="noConversion"/>
  </si>
  <si>
    <t>cyclenet</t>
    <phoneticPr fontId="1" type="noConversion"/>
  </si>
  <si>
    <t>16-联合</t>
    <phoneticPr fontId="1" type="noConversion"/>
  </si>
  <si>
    <t>4-联合</t>
    <phoneticPr fontId="1" type="noConversion"/>
  </si>
  <si>
    <t>+</t>
    <phoneticPr fontId="1" type="noConversion"/>
  </si>
  <si>
    <t>指数</t>
    <phoneticPr fontId="1" type="noConversion"/>
  </si>
  <si>
    <t>-</t>
    <phoneticPr fontId="1" type="noConversion"/>
  </si>
  <si>
    <t>CNN</t>
    <phoneticPr fontId="1" type="noConversion"/>
  </si>
  <si>
    <t>XGBoost</t>
  </si>
  <si>
    <t>KNN-SVR</t>
  </si>
  <si>
    <t>Bi-LSTM</t>
  </si>
  <si>
    <t>MAPE</t>
  </si>
  <si>
    <t>MAPE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</si>
</sst>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Times New Roman"/>
      <family val="1"/>
    </font>
    <font>
      <sz val="11"/>
      <color rgb="FFFFFFFF"/>
      <name val="宋体"/>
      <family val="1"/>
      <charset val="134"/>
    </font>
    <font>
      <sz val="11"/>
      <color rgb="FF000000"/>
      <name val="等线"/>
      <family val="3"/>
      <charset val="134"/>
    </font>
    <font>
      <sz val="11"/>
      <color rgb="FFFFFFFF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0F6FC6"/>
        <bgColor indexed="64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thick">
        <color rgb="FFFFFFFF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 style="thick">
        <color rgb="FFFFFFF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thin">
        <color indexed="64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2" fillId="2" borderId="8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Fill="1" applyBorder="1"/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right" vertical="center" wrapText="1" readingOrder="1"/>
    </xf>
    <xf numFmtId="0" fontId="4" fillId="0" borderId="5" xfId="0" applyFont="1" applyFill="1" applyBorder="1" applyAlignment="1">
      <alignment horizontal="right" vertical="center" wrapText="1" readingOrder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16" xfId="0" applyFont="1" applyFill="1" applyBorder="1" applyAlignment="1">
      <alignment horizontal="right" vertical="center" wrapText="1" readingOrder="1"/>
    </xf>
    <xf numFmtId="0" fontId="4" fillId="0" borderId="17" xfId="0" applyFont="1" applyFill="1" applyBorder="1" applyAlignment="1">
      <alignment horizontal="right" vertical="center" wrapText="1" readingOrder="1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4" fillId="0" borderId="18" xfId="0" applyFont="1" applyFill="1" applyBorder="1" applyAlignment="1">
      <alignment horizontal="right" vertical="center" wrapText="1" readingOrder="1"/>
    </xf>
    <xf numFmtId="0" fontId="4" fillId="0" borderId="19" xfId="0" applyFont="1" applyFill="1" applyBorder="1" applyAlignment="1">
      <alignment horizontal="right" vertical="center" wrapText="1" readingOrder="1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opLeftCell="A25" zoomScaleNormal="100" workbookViewId="0">
      <selection activeCell="F1" sqref="F1"/>
    </sheetView>
  </sheetViews>
  <sheetFormatPr defaultRowHeight="14.25" x14ac:dyDescent="0.2"/>
  <cols>
    <col min="1" max="16384" width="9" style="1"/>
  </cols>
  <sheetData>
    <row r="1" spans="1:20" ht="15" x14ac:dyDescent="0.2">
      <c r="B1" s="2" t="s">
        <v>4</v>
      </c>
      <c r="C1" s="2" t="s">
        <v>7</v>
      </c>
      <c r="D1" s="2" t="s">
        <v>5</v>
      </c>
      <c r="E1" s="2"/>
      <c r="F1" s="3" t="s">
        <v>0</v>
      </c>
      <c r="G1" s="3" t="s">
        <v>30</v>
      </c>
      <c r="H1" s="3" t="s">
        <v>1</v>
      </c>
      <c r="I1" s="3" t="s">
        <v>2</v>
      </c>
      <c r="J1" s="3" t="s">
        <v>3</v>
      </c>
      <c r="L1" s="2" t="s">
        <v>4</v>
      </c>
      <c r="M1" s="2" t="s">
        <v>7</v>
      </c>
      <c r="N1" s="2" t="s">
        <v>5</v>
      </c>
      <c r="O1" s="2"/>
      <c r="P1" s="3" t="s">
        <v>0</v>
      </c>
      <c r="Q1" s="3" t="s">
        <v>30</v>
      </c>
      <c r="R1" s="3" t="s">
        <v>1</v>
      </c>
      <c r="S1" s="3" t="s">
        <v>2</v>
      </c>
      <c r="T1" s="3" t="s">
        <v>3</v>
      </c>
    </row>
    <row r="2" spans="1:20" ht="15" thickBot="1" x14ac:dyDescent="0.25">
      <c r="A2" s="1" t="s">
        <v>20</v>
      </c>
      <c r="B2" s="34">
        <v>6</v>
      </c>
      <c r="C2" s="22" t="s">
        <v>6</v>
      </c>
      <c r="D2" s="22" t="s">
        <v>9</v>
      </c>
      <c r="E2" s="23" t="s">
        <v>12</v>
      </c>
      <c r="F2" s="24"/>
      <c r="G2" s="24"/>
      <c r="H2" s="24"/>
      <c r="I2" s="24"/>
      <c r="J2" s="25"/>
      <c r="K2" s="1" t="s">
        <v>29</v>
      </c>
      <c r="L2" s="34">
        <v>6</v>
      </c>
      <c r="M2" s="22" t="s">
        <v>25</v>
      </c>
      <c r="N2" s="22" t="s">
        <v>9</v>
      </c>
      <c r="O2" s="23" t="s">
        <v>12</v>
      </c>
      <c r="P2" s="24"/>
      <c r="Q2" s="24"/>
      <c r="R2" s="24"/>
      <c r="S2" s="24"/>
      <c r="T2" s="25"/>
    </row>
    <row r="3" spans="1:20" ht="15" thickTop="1" x14ac:dyDescent="0.2">
      <c r="A3" s="1" t="s">
        <v>23</v>
      </c>
      <c r="B3" s="35"/>
      <c r="C3" s="26"/>
      <c r="D3" s="30"/>
      <c r="E3" s="31" t="s">
        <v>13</v>
      </c>
      <c r="F3" s="32"/>
      <c r="G3" s="32"/>
      <c r="H3" s="32"/>
      <c r="I3" s="32"/>
      <c r="J3" s="33"/>
      <c r="L3" s="35"/>
      <c r="M3" s="26"/>
      <c r="N3" s="30"/>
      <c r="O3" s="31" t="s">
        <v>13</v>
      </c>
      <c r="P3" s="32"/>
      <c r="Q3" s="32"/>
      <c r="R3" s="32"/>
      <c r="S3" s="32"/>
      <c r="T3" s="33"/>
    </row>
    <row r="4" spans="1:20" ht="15" thickBot="1" x14ac:dyDescent="0.25">
      <c r="A4" s="1" t="s">
        <v>24</v>
      </c>
      <c r="B4" s="35"/>
      <c r="C4" s="26"/>
      <c r="D4" s="26" t="s">
        <v>8</v>
      </c>
      <c r="E4" s="27" t="s">
        <v>12</v>
      </c>
      <c r="F4" s="28"/>
      <c r="G4" s="28"/>
      <c r="H4" s="28"/>
      <c r="I4" s="28"/>
      <c r="J4" s="29"/>
      <c r="L4" s="35"/>
      <c r="M4" s="26"/>
      <c r="N4" s="26" t="s">
        <v>8</v>
      </c>
      <c r="O4" s="27" t="s">
        <v>12</v>
      </c>
      <c r="P4" s="28"/>
      <c r="Q4" s="28"/>
      <c r="R4" s="28"/>
      <c r="S4" s="28"/>
      <c r="T4" s="29"/>
    </row>
    <row r="5" spans="1:20" ht="15" thickTop="1" x14ac:dyDescent="0.2">
      <c r="B5" s="35"/>
      <c r="C5" s="26"/>
      <c r="D5" s="30"/>
      <c r="E5" s="27" t="s">
        <v>13</v>
      </c>
      <c r="F5" s="27"/>
      <c r="G5" s="27"/>
      <c r="H5" s="27"/>
      <c r="I5" s="27"/>
      <c r="J5" s="36"/>
      <c r="L5" s="38"/>
      <c r="M5" s="30"/>
      <c r="N5" s="30"/>
      <c r="O5" s="31" t="s">
        <v>13</v>
      </c>
      <c r="P5" s="31"/>
      <c r="Q5" s="31"/>
      <c r="R5" s="31"/>
      <c r="S5" s="31"/>
      <c r="T5" s="37"/>
    </row>
    <row r="6" spans="1:20" ht="15" thickBot="1" x14ac:dyDescent="0.25">
      <c r="B6" s="35"/>
      <c r="C6" s="22">
        <v>4</v>
      </c>
      <c r="D6" s="22" t="s">
        <v>9</v>
      </c>
      <c r="E6" s="23" t="s">
        <v>12</v>
      </c>
      <c r="F6" s="24"/>
      <c r="G6" s="24"/>
      <c r="H6" s="24"/>
      <c r="I6" s="24"/>
      <c r="J6" s="25"/>
      <c r="L6" s="34">
        <v>12</v>
      </c>
      <c r="M6" s="22" t="s">
        <v>25</v>
      </c>
      <c r="N6" s="22" t="s">
        <v>9</v>
      </c>
      <c r="O6" s="23" t="s">
        <v>12</v>
      </c>
      <c r="P6" s="24"/>
      <c r="Q6" s="24"/>
      <c r="R6" s="24"/>
      <c r="S6" s="24"/>
      <c r="T6" s="25"/>
    </row>
    <row r="7" spans="1:20" ht="15" thickTop="1" x14ac:dyDescent="0.2">
      <c r="B7" s="35"/>
      <c r="C7" s="26"/>
      <c r="D7" s="30"/>
      <c r="E7" s="31" t="s">
        <v>13</v>
      </c>
      <c r="F7" s="32"/>
      <c r="G7" s="32"/>
      <c r="H7" s="32"/>
      <c r="I7" s="32"/>
      <c r="J7" s="33"/>
      <c r="L7" s="35"/>
      <c r="M7" s="26"/>
      <c r="N7" s="30"/>
      <c r="O7" s="31" t="s">
        <v>13</v>
      </c>
      <c r="P7" s="32"/>
      <c r="Q7" s="32"/>
      <c r="R7" s="32"/>
      <c r="S7" s="32"/>
      <c r="T7" s="33"/>
    </row>
    <row r="8" spans="1:20" ht="15" thickBot="1" x14ac:dyDescent="0.25">
      <c r="B8" s="35"/>
      <c r="C8" s="26"/>
      <c r="D8" s="26" t="s">
        <v>8</v>
      </c>
      <c r="E8" s="27" t="s">
        <v>12</v>
      </c>
      <c r="F8" s="28"/>
      <c r="G8" s="28"/>
      <c r="H8" s="28"/>
      <c r="I8" s="28"/>
      <c r="J8" s="29"/>
      <c r="L8" s="35"/>
      <c r="M8" s="26"/>
      <c r="N8" s="26" t="s">
        <v>8</v>
      </c>
      <c r="O8" s="27" t="s">
        <v>12</v>
      </c>
      <c r="P8" s="28"/>
      <c r="Q8" s="28"/>
      <c r="R8" s="28"/>
      <c r="S8" s="28"/>
      <c r="T8" s="29"/>
    </row>
    <row r="9" spans="1:20" ht="15" thickTop="1" x14ac:dyDescent="0.2">
      <c r="B9" s="35"/>
      <c r="C9" s="26"/>
      <c r="D9" s="30"/>
      <c r="E9" s="27" t="s">
        <v>13</v>
      </c>
      <c r="F9" s="27"/>
      <c r="G9" s="27"/>
      <c r="H9" s="27"/>
      <c r="I9" s="27"/>
      <c r="J9" s="36"/>
      <c r="L9" s="38"/>
      <c r="M9" s="30"/>
      <c r="N9" s="30"/>
      <c r="O9" s="27" t="s">
        <v>13</v>
      </c>
      <c r="P9" s="27"/>
      <c r="Q9" s="27"/>
      <c r="R9" s="27"/>
      <c r="S9" s="27"/>
      <c r="T9" s="36"/>
    </row>
    <row r="10" spans="1:20" ht="15" thickBot="1" x14ac:dyDescent="0.25">
      <c r="B10" s="35"/>
      <c r="C10" s="22">
        <v>16</v>
      </c>
      <c r="D10" s="22" t="s">
        <v>9</v>
      </c>
      <c r="E10" s="23" t="s">
        <v>12</v>
      </c>
      <c r="F10" s="24"/>
      <c r="G10" s="24"/>
      <c r="H10" s="24"/>
      <c r="I10" s="24"/>
      <c r="J10" s="25"/>
      <c r="L10" s="34">
        <v>14</v>
      </c>
      <c r="M10" s="22" t="s">
        <v>25</v>
      </c>
      <c r="N10" s="22" t="s">
        <v>9</v>
      </c>
      <c r="O10" s="23" t="s">
        <v>12</v>
      </c>
      <c r="P10" s="24"/>
      <c r="Q10" s="24"/>
      <c r="R10" s="24"/>
      <c r="S10" s="24"/>
      <c r="T10" s="25"/>
    </row>
    <row r="11" spans="1:20" ht="15" thickTop="1" x14ac:dyDescent="0.2">
      <c r="B11" s="35"/>
      <c r="C11" s="26"/>
      <c r="D11" s="30"/>
      <c r="E11" s="31" t="s">
        <v>13</v>
      </c>
      <c r="F11" s="32"/>
      <c r="G11" s="32"/>
      <c r="H11" s="32"/>
      <c r="I11" s="32"/>
      <c r="J11" s="33"/>
      <c r="L11" s="35"/>
      <c r="M11" s="26"/>
      <c r="N11" s="30"/>
      <c r="O11" s="31" t="s">
        <v>13</v>
      </c>
      <c r="P11" s="32"/>
      <c r="Q11" s="32"/>
      <c r="R11" s="32"/>
      <c r="S11" s="32"/>
      <c r="T11" s="33"/>
    </row>
    <row r="12" spans="1:20" ht="15" thickBot="1" x14ac:dyDescent="0.25">
      <c r="B12" s="35"/>
      <c r="C12" s="26"/>
      <c r="D12" s="26" t="s">
        <v>8</v>
      </c>
      <c r="E12" s="27" t="s">
        <v>12</v>
      </c>
      <c r="F12" s="28"/>
      <c r="G12" s="28"/>
      <c r="H12" s="28"/>
      <c r="I12" s="28"/>
      <c r="J12" s="29"/>
      <c r="L12" s="35"/>
      <c r="M12" s="26"/>
      <c r="N12" s="26" t="s">
        <v>8</v>
      </c>
      <c r="O12" s="27" t="s">
        <v>12</v>
      </c>
      <c r="P12" s="28"/>
      <c r="Q12" s="28"/>
      <c r="R12" s="28"/>
      <c r="S12" s="28"/>
      <c r="T12" s="29"/>
    </row>
    <row r="13" spans="1:20" ht="15" thickTop="1" x14ac:dyDescent="0.2">
      <c r="B13" s="35"/>
      <c r="C13" s="26"/>
      <c r="D13" s="30"/>
      <c r="E13" s="27" t="s">
        <v>13</v>
      </c>
      <c r="F13" s="27"/>
      <c r="G13" s="27"/>
      <c r="H13" s="27"/>
      <c r="I13" s="27"/>
      <c r="J13" s="36"/>
      <c r="L13" s="38"/>
      <c r="M13" s="30"/>
      <c r="N13" s="30"/>
      <c r="O13" s="27" t="s">
        <v>13</v>
      </c>
      <c r="P13" s="27"/>
      <c r="Q13" s="27"/>
      <c r="R13" s="27"/>
      <c r="S13" s="27"/>
      <c r="T13" s="36"/>
    </row>
    <row r="14" spans="1:20" ht="15" thickBot="1" x14ac:dyDescent="0.25">
      <c r="B14" s="35"/>
      <c r="C14" s="22" t="s">
        <v>22</v>
      </c>
      <c r="D14" s="22" t="s">
        <v>9</v>
      </c>
      <c r="E14" s="23" t="s">
        <v>12</v>
      </c>
      <c r="F14" s="24"/>
      <c r="G14" s="24"/>
      <c r="H14" s="24"/>
      <c r="I14" s="24"/>
      <c r="J14" s="25"/>
      <c r="L14" s="34">
        <v>20</v>
      </c>
      <c r="M14" s="22" t="s">
        <v>25</v>
      </c>
      <c r="N14" s="22" t="s">
        <v>9</v>
      </c>
      <c r="O14" s="23" t="s">
        <v>12</v>
      </c>
      <c r="P14" s="24"/>
      <c r="Q14" s="24"/>
      <c r="R14" s="24"/>
      <c r="S14" s="24"/>
      <c r="T14" s="25"/>
    </row>
    <row r="15" spans="1:20" ht="15" thickTop="1" x14ac:dyDescent="0.2">
      <c r="B15" s="35"/>
      <c r="C15" s="26"/>
      <c r="D15" s="30"/>
      <c r="E15" s="31" t="s">
        <v>13</v>
      </c>
      <c r="F15" s="32"/>
      <c r="G15" s="32"/>
      <c r="H15" s="32"/>
      <c r="I15" s="32"/>
      <c r="J15" s="33"/>
      <c r="L15" s="35"/>
      <c r="M15" s="26"/>
      <c r="N15" s="30"/>
      <c r="O15" s="31" t="s">
        <v>13</v>
      </c>
      <c r="P15" s="32"/>
      <c r="Q15" s="32"/>
      <c r="R15" s="32"/>
      <c r="S15" s="32"/>
      <c r="T15" s="33"/>
    </row>
    <row r="16" spans="1:20" ht="15" thickBot="1" x14ac:dyDescent="0.25">
      <c r="B16" s="35"/>
      <c r="C16" s="26"/>
      <c r="D16" s="26" t="s">
        <v>8</v>
      </c>
      <c r="E16" s="27" t="s">
        <v>12</v>
      </c>
      <c r="F16" s="28"/>
      <c r="G16" s="28"/>
      <c r="H16" s="28"/>
      <c r="I16" s="28"/>
      <c r="J16" s="29"/>
      <c r="L16" s="35"/>
      <c r="M16" s="26"/>
      <c r="N16" s="26" t="s">
        <v>8</v>
      </c>
      <c r="O16" s="27" t="s">
        <v>12</v>
      </c>
      <c r="P16" s="28"/>
      <c r="Q16" s="28"/>
      <c r="R16" s="28"/>
      <c r="S16" s="28"/>
      <c r="T16" s="29"/>
    </row>
    <row r="17" spans="2:20" ht="15" thickTop="1" x14ac:dyDescent="0.2">
      <c r="B17" s="35"/>
      <c r="C17" s="26"/>
      <c r="D17" s="30"/>
      <c r="E17" s="27" t="s">
        <v>13</v>
      </c>
      <c r="F17" s="27"/>
      <c r="G17" s="27"/>
      <c r="H17" s="27"/>
      <c r="I17" s="27"/>
      <c r="J17" s="36"/>
      <c r="L17" s="38"/>
      <c r="M17" s="30"/>
      <c r="N17" s="30"/>
      <c r="O17" s="31" t="s">
        <v>13</v>
      </c>
      <c r="P17" s="31"/>
      <c r="Q17" s="31"/>
      <c r="R17" s="31"/>
      <c r="S17" s="31"/>
      <c r="T17" s="37"/>
    </row>
    <row r="18" spans="2:20" ht="15" thickBot="1" x14ac:dyDescent="0.25">
      <c r="B18" s="35"/>
      <c r="C18" s="22" t="s">
        <v>21</v>
      </c>
      <c r="D18" s="22" t="s">
        <v>9</v>
      </c>
      <c r="E18" s="23" t="s">
        <v>12</v>
      </c>
      <c r="F18" s="24"/>
      <c r="G18" s="24"/>
      <c r="H18" s="24"/>
      <c r="I18" s="24"/>
      <c r="J18" s="25"/>
    </row>
    <row r="19" spans="2:20" ht="15.75" thickTop="1" thickBot="1" x14ac:dyDescent="0.25">
      <c r="B19" s="35"/>
      <c r="C19" s="26"/>
      <c r="D19" s="30"/>
      <c r="E19" s="31" t="s">
        <v>13</v>
      </c>
      <c r="F19" s="32"/>
      <c r="G19" s="32"/>
      <c r="H19" s="32"/>
      <c r="I19" s="32"/>
      <c r="J19" s="33"/>
    </row>
    <row r="20" spans="2:20" ht="15.75" thickBot="1" x14ac:dyDescent="0.25">
      <c r="B20" s="35"/>
      <c r="C20" s="26"/>
      <c r="D20" s="26" t="s">
        <v>8</v>
      </c>
      <c r="E20" s="27" t="s">
        <v>12</v>
      </c>
      <c r="F20" s="28"/>
      <c r="G20" s="28"/>
      <c r="H20" s="28"/>
      <c r="I20" s="28"/>
      <c r="J20" s="29"/>
      <c r="L20" s="2" t="s">
        <v>4</v>
      </c>
      <c r="M20" s="2" t="s">
        <v>7</v>
      </c>
      <c r="N20" s="2" t="s">
        <v>5</v>
      </c>
      <c r="O20" s="2"/>
      <c r="P20" s="3" t="s">
        <v>0</v>
      </c>
      <c r="Q20" s="3" t="s">
        <v>30</v>
      </c>
      <c r="R20" s="3" t="s">
        <v>1</v>
      </c>
      <c r="S20" s="3" t="s">
        <v>2</v>
      </c>
      <c r="T20" s="3" t="s">
        <v>3</v>
      </c>
    </row>
    <row r="21" spans="2:20" ht="15.75" thickTop="1" thickBot="1" x14ac:dyDescent="0.25">
      <c r="B21" s="38"/>
      <c r="C21" s="30"/>
      <c r="D21" s="30"/>
      <c r="E21" s="31" t="s">
        <v>13</v>
      </c>
      <c r="F21" s="31"/>
      <c r="G21" s="31"/>
      <c r="H21" s="31"/>
      <c r="I21" s="31"/>
      <c r="J21" s="37"/>
      <c r="K21" s="1" t="s">
        <v>26</v>
      </c>
      <c r="L21" s="34">
        <v>6</v>
      </c>
      <c r="M21" s="22" t="s">
        <v>25</v>
      </c>
      <c r="N21" s="22" t="s">
        <v>9</v>
      </c>
      <c r="O21" s="23" t="s">
        <v>12</v>
      </c>
      <c r="P21" s="24"/>
      <c r="Q21" s="24"/>
      <c r="R21" s="24"/>
      <c r="S21" s="24"/>
      <c r="T21" s="25"/>
    </row>
    <row r="22" spans="2:20" ht="15" customHeight="1" thickTop="1" thickBot="1" x14ac:dyDescent="0.25">
      <c r="B22" s="34">
        <v>12</v>
      </c>
      <c r="C22" s="22" t="s">
        <v>6</v>
      </c>
      <c r="D22" s="22" t="s">
        <v>9</v>
      </c>
      <c r="E22" s="23" t="s">
        <v>12</v>
      </c>
      <c r="F22" s="24"/>
      <c r="G22" s="24"/>
      <c r="H22" s="24"/>
      <c r="I22" s="24"/>
      <c r="J22" s="25"/>
      <c r="L22" s="35"/>
      <c r="M22" s="26"/>
      <c r="N22" s="30"/>
      <c r="O22" s="31" t="s">
        <v>13</v>
      </c>
      <c r="P22" s="32"/>
      <c r="Q22" s="32"/>
      <c r="R22" s="32"/>
      <c r="S22" s="32"/>
      <c r="T22" s="33"/>
    </row>
    <row r="23" spans="2:20" ht="15" customHeight="1" thickTop="1" thickBot="1" x14ac:dyDescent="0.25">
      <c r="B23" s="35"/>
      <c r="C23" s="26"/>
      <c r="D23" s="30"/>
      <c r="E23" s="31" t="s">
        <v>13</v>
      </c>
      <c r="F23" s="32"/>
      <c r="G23" s="32"/>
      <c r="H23" s="32"/>
      <c r="I23" s="32"/>
      <c r="J23" s="33"/>
      <c r="L23" s="35"/>
      <c r="M23" s="26"/>
      <c r="N23" s="26" t="s">
        <v>8</v>
      </c>
      <c r="O23" s="27" t="s">
        <v>12</v>
      </c>
      <c r="P23" s="28"/>
      <c r="Q23" s="28"/>
      <c r="R23" s="28"/>
      <c r="S23" s="28"/>
      <c r="T23" s="29"/>
    </row>
    <row r="24" spans="2:20" ht="15.75" thickTop="1" thickBot="1" x14ac:dyDescent="0.25">
      <c r="B24" s="35"/>
      <c r="C24" s="26"/>
      <c r="D24" s="26" t="s">
        <v>8</v>
      </c>
      <c r="E24" s="27" t="s">
        <v>12</v>
      </c>
      <c r="F24" s="28"/>
      <c r="G24" s="28"/>
      <c r="H24" s="28"/>
      <c r="I24" s="28"/>
      <c r="J24" s="29"/>
      <c r="L24" s="38"/>
      <c r="M24" s="30"/>
      <c r="N24" s="30"/>
      <c r="O24" s="31" t="s">
        <v>13</v>
      </c>
      <c r="P24" s="31"/>
      <c r="Q24" s="31"/>
      <c r="R24" s="31"/>
      <c r="S24" s="31"/>
      <c r="T24" s="37"/>
    </row>
    <row r="25" spans="2:20" ht="15.75" thickTop="1" thickBot="1" x14ac:dyDescent="0.25">
      <c r="B25" s="35"/>
      <c r="C25" s="26"/>
      <c r="D25" s="30"/>
      <c r="E25" s="27" t="s">
        <v>13</v>
      </c>
      <c r="F25" s="27"/>
      <c r="G25" s="27"/>
      <c r="H25" s="27"/>
      <c r="I25" s="27"/>
      <c r="J25" s="36"/>
      <c r="L25" s="34">
        <v>12</v>
      </c>
      <c r="M25" s="22" t="s">
        <v>25</v>
      </c>
      <c r="N25" s="22" t="s">
        <v>9</v>
      </c>
      <c r="O25" s="23" t="s">
        <v>12</v>
      </c>
      <c r="P25" s="24"/>
      <c r="Q25" s="24"/>
      <c r="R25" s="24"/>
      <c r="S25" s="24"/>
      <c r="T25" s="25"/>
    </row>
    <row r="26" spans="2:20" ht="15.75" thickTop="1" thickBot="1" x14ac:dyDescent="0.25">
      <c r="B26" s="35"/>
      <c r="C26" s="22">
        <v>4</v>
      </c>
      <c r="D26" s="22" t="s">
        <v>9</v>
      </c>
      <c r="E26" s="23" t="s">
        <v>12</v>
      </c>
      <c r="F26" s="24"/>
      <c r="G26" s="24"/>
      <c r="H26" s="24"/>
      <c r="I26" s="24"/>
      <c r="J26" s="25"/>
      <c r="L26" s="35"/>
      <c r="M26" s="26"/>
      <c r="N26" s="30"/>
      <c r="O26" s="31" t="s">
        <v>13</v>
      </c>
      <c r="P26" s="32"/>
      <c r="Q26" s="32"/>
      <c r="R26" s="32"/>
      <c r="S26" s="32"/>
      <c r="T26" s="33"/>
    </row>
    <row r="27" spans="2:20" ht="15.75" thickTop="1" thickBot="1" x14ac:dyDescent="0.25">
      <c r="B27" s="35"/>
      <c r="C27" s="26"/>
      <c r="D27" s="30"/>
      <c r="E27" s="31" t="s">
        <v>13</v>
      </c>
      <c r="F27" s="32"/>
      <c r="G27" s="32"/>
      <c r="H27" s="32"/>
      <c r="I27" s="32"/>
      <c r="J27" s="33"/>
      <c r="L27" s="35"/>
      <c r="M27" s="26"/>
      <c r="N27" s="26" t="s">
        <v>8</v>
      </c>
      <c r="O27" s="27" t="s">
        <v>12</v>
      </c>
      <c r="P27" s="28"/>
      <c r="Q27" s="28"/>
      <c r="R27" s="28"/>
      <c r="S27" s="28"/>
      <c r="T27" s="29"/>
    </row>
    <row r="28" spans="2:20" ht="15.75" thickTop="1" thickBot="1" x14ac:dyDescent="0.25">
      <c r="B28" s="35"/>
      <c r="C28" s="26"/>
      <c r="D28" s="26" t="s">
        <v>8</v>
      </c>
      <c r="E28" s="27" t="s">
        <v>12</v>
      </c>
      <c r="F28" s="28"/>
      <c r="G28" s="28"/>
      <c r="H28" s="28"/>
      <c r="I28" s="28"/>
      <c r="J28" s="29"/>
      <c r="L28" s="38"/>
      <c r="M28" s="30"/>
      <c r="N28" s="30"/>
      <c r="O28" s="27" t="s">
        <v>13</v>
      </c>
      <c r="P28" s="27"/>
      <c r="Q28" s="27"/>
      <c r="R28" s="27"/>
      <c r="S28" s="27"/>
      <c r="T28" s="36"/>
    </row>
    <row r="29" spans="2:20" ht="15.75" customHeight="1" thickTop="1" thickBot="1" x14ac:dyDescent="0.25">
      <c r="B29" s="35"/>
      <c r="C29" s="26"/>
      <c r="D29" s="30"/>
      <c r="E29" s="27" t="s">
        <v>13</v>
      </c>
      <c r="F29" s="27"/>
      <c r="G29" s="27"/>
      <c r="H29" s="27"/>
      <c r="I29" s="27"/>
      <c r="J29" s="36"/>
      <c r="L29" s="34">
        <v>14</v>
      </c>
      <c r="M29" s="22" t="s">
        <v>25</v>
      </c>
      <c r="N29" s="22" t="s">
        <v>9</v>
      </c>
      <c r="O29" s="23" t="s">
        <v>12</v>
      </c>
      <c r="P29" s="24"/>
      <c r="Q29" s="24"/>
      <c r="R29" s="24"/>
      <c r="S29" s="24"/>
      <c r="T29" s="25"/>
    </row>
    <row r="30" spans="2:20" ht="15.75" customHeight="1" thickTop="1" thickBot="1" x14ac:dyDescent="0.25">
      <c r="B30" s="35"/>
      <c r="C30" s="22">
        <v>16</v>
      </c>
      <c r="D30" s="22" t="s">
        <v>9</v>
      </c>
      <c r="E30" s="23" t="s">
        <v>12</v>
      </c>
      <c r="F30" s="24"/>
      <c r="G30" s="24"/>
      <c r="H30" s="24"/>
      <c r="I30" s="24"/>
      <c r="J30" s="25"/>
      <c r="L30" s="35"/>
      <c r="M30" s="26"/>
      <c r="N30" s="30"/>
      <c r="O30" s="31" t="s">
        <v>13</v>
      </c>
      <c r="P30" s="32"/>
      <c r="Q30" s="32"/>
      <c r="R30" s="32"/>
      <c r="S30" s="32"/>
      <c r="T30" s="33"/>
    </row>
    <row r="31" spans="2:20" ht="15.75" thickTop="1" thickBot="1" x14ac:dyDescent="0.25">
      <c r="B31" s="35"/>
      <c r="C31" s="26"/>
      <c r="D31" s="30"/>
      <c r="E31" s="31" t="s">
        <v>13</v>
      </c>
      <c r="F31" s="32"/>
      <c r="G31" s="32"/>
      <c r="H31" s="32"/>
      <c r="I31" s="32"/>
      <c r="J31" s="33"/>
      <c r="L31" s="35"/>
      <c r="M31" s="26"/>
      <c r="N31" s="26" t="s">
        <v>8</v>
      </c>
      <c r="O31" s="27" t="s">
        <v>12</v>
      </c>
      <c r="P31" s="28"/>
      <c r="Q31" s="28"/>
      <c r="R31" s="28"/>
      <c r="S31" s="28"/>
      <c r="T31" s="29"/>
    </row>
    <row r="32" spans="2:20" ht="15.75" thickTop="1" thickBot="1" x14ac:dyDescent="0.25">
      <c r="B32" s="35"/>
      <c r="C32" s="26"/>
      <c r="D32" s="26" t="s">
        <v>8</v>
      </c>
      <c r="E32" s="27" t="s">
        <v>12</v>
      </c>
      <c r="F32" s="28"/>
      <c r="G32" s="28"/>
      <c r="H32" s="28"/>
      <c r="I32" s="28"/>
      <c r="J32" s="29"/>
      <c r="L32" s="38"/>
      <c r="M32" s="30"/>
      <c r="N32" s="30"/>
      <c r="O32" s="27" t="s">
        <v>13</v>
      </c>
      <c r="P32" s="27"/>
      <c r="Q32" s="27"/>
      <c r="R32" s="27"/>
      <c r="S32" s="27"/>
      <c r="T32" s="36"/>
    </row>
    <row r="33" spans="2:20" ht="15.75" thickTop="1" thickBot="1" x14ac:dyDescent="0.25">
      <c r="B33" s="35"/>
      <c r="C33" s="26"/>
      <c r="D33" s="30"/>
      <c r="E33" s="27" t="s">
        <v>13</v>
      </c>
      <c r="F33" s="27"/>
      <c r="G33" s="27"/>
      <c r="H33" s="27"/>
      <c r="I33" s="27"/>
      <c r="J33" s="36"/>
      <c r="L33" s="34">
        <v>20</v>
      </c>
      <c r="M33" s="22" t="s">
        <v>25</v>
      </c>
      <c r="N33" s="22" t="s">
        <v>9</v>
      </c>
      <c r="O33" s="23" t="s">
        <v>12</v>
      </c>
      <c r="P33" s="24"/>
      <c r="Q33" s="24"/>
      <c r="R33" s="24"/>
      <c r="S33" s="24"/>
      <c r="T33" s="25"/>
    </row>
    <row r="34" spans="2:20" ht="15.75" thickTop="1" thickBot="1" x14ac:dyDescent="0.25">
      <c r="B34" s="35"/>
      <c r="C34" s="22" t="s">
        <v>22</v>
      </c>
      <c r="D34" s="22" t="s">
        <v>9</v>
      </c>
      <c r="E34" s="23" t="s">
        <v>12</v>
      </c>
      <c r="F34" s="24"/>
      <c r="G34" s="24"/>
      <c r="H34" s="24"/>
      <c r="I34" s="24"/>
      <c r="J34" s="25"/>
      <c r="L34" s="35"/>
      <c r="M34" s="26"/>
      <c r="N34" s="30"/>
      <c r="O34" s="31" t="s">
        <v>13</v>
      </c>
      <c r="P34" s="32"/>
      <c r="Q34" s="32"/>
      <c r="R34" s="32"/>
      <c r="S34" s="32"/>
      <c r="T34" s="33"/>
    </row>
    <row r="35" spans="2:20" ht="15.75" thickTop="1" thickBot="1" x14ac:dyDescent="0.25">
      <c r="B35" s="35"/>
      <c r="C35" s="26"/>
      <c r="D35" s="30"/>
      <c r="E35" s="31" t="s">
        <v>13</v>
      </c>
      <c r="F35" s="32"/>
      <c r="G35" s="32"/>
      <c r="H35" s="32"/>
      <c r="I35" s="32"/>
      <c r="J35" s="33"/>
      <c r="L35" s="35"/>
      <c r="M35" s="26"/>
      <c r="N35" s="26" t="s">
        <v>8</v>
      </c>
      <c r="O35" s="27" t="s">
        <v>12</v>
      </c>
      <c r="P35" s="28"/>
      <c r="Q35" s="28"/>
      <c r="R35" s="28"/>
      <c r="S35" s="28"/>
      <c r="T35" s="29"/>
    </row>
    <row r="36" spans="2:20" ht="15.75" thickTop="1" thickBot="1" x14ac:dyDescent="0.25">
      <c r="B36" s="35"/>
      <c r="C36" s="26"/>
      <c r="D36" s="26" t="s">
        <v>8</v>
      </c>
      <c r="E36" s="27" t="s">
        <v>12</v>
      </c>
      <c r="F36" s="28"/>
      <c r="G36" s="28"/>
      <c r="H36" s="28"/>
      <c r="I36" s="28"/>
      <c r="J36" s="29"/>
      <c r="L36" s="38"/>
      <c r="M36" s="30"/>
      <c r="N36" s="30"/>
      <c r="O36" s="31" t="s">
        <v>13</v>
      </c>
      <c r="P36" s="31"/>
      <c r="Q36" s="31"/>
      <c r="R36" s="31"/>
      <c r="S36" s="31"/>
      <c r="T36" s="37"/>
    </row>
    <row r="37" spans="2:20" ht="15.75" thickTop="1" thickBot="1" x14ac:dyDescent="0.25">
      <c r="B37" s="35"/>
      <c r="C37" s="26"/>
      <c r="D37" s="30"/>
      <c r="E37" s="27" t="s">
        <v>13</v>
      </c>
      <c r="F37" s="27"/>
      <c r="G37" s="27"/>
      <c r="H37" s="27"/>
      <c r="I37" s="27"/>
      <c r="J37" s="36"/>
    </row>
    <row r="38" spans="2:20" ht="15.75" thickBot="1" x14ac:dyDescent="0.25">
      <c r="B38" s="35"/>
      <c r="C38" s="22" t="s">
        <v>21</v>
      </c>
      <c r="D38" s="22" t="s">
        <v>9</v>
      </c>
      <c r="E38" s="23" t="s">
        <v>12</v>
      </c>
      <c r="F38" s="24"/>
      <c r="G38" s="24"/>
      <c r="H38" s="24"/>
      <c r="I38" s="24"/>
      <c r="J38" s="25"/>
      <c r="L38" s="2" t="s">
        <v>4</v>
      </c>
      <c r="M38" s="2" t="s">
        <v>7</v>
      </c>
      <c r="N38" s="2" t="s">
        <v>5</v>
      </c>
      <c r="O38" s="2"/>
      <c r="P38" s="3" t="s">
        <v>0</v>
      </c>
      <c r="Q38" s="3" t="s">
        <v>30</v>
      </c>
      <c r="R38" s="3" t="s">
        <v>1</v>
      </c>
      <c r="S38" s="3" t="s">
        <v>2</v>
      </c>
      <c r="T38" s="3" t="s">
        <v>3</v>
      </c>
    </row>
    <row r="39" spans="2:20" ht="15.75" thickTop="1" thickBot="1" x14ac:dyDescent="0.25">
      <c r="B39" s="35"/>
      <c r="C39" s="26"/>
      <c r="D39" s="30"/>
      <c r="E39" s="31" t="s">
        <v>13</v>
      </c>
      <c r="F39" s="32"/>
      <c r="G39" s="32"/>
      <c r="H39" s="32"/>
      <c r="I39" s="32"/>
      <c r="J39" s="33"/>
      <c r="K39" s="1" t="s">
        <v>27</v>
      </c>
      <c r="L39" s="34">
        <v>6</v>
      </c>
      <c r="M39" s="22" t="s">
        <v>25</v>
      </c>
      <c r="N39" s="22" t="s">
        <v>9</v>
      </c>
      <c r="O39" s="23" t="s">
        <v>12</v>
      </c>
      <c r="P39" s="24"/>
      <c r="Q39" s="24"/>
      <c r="R39" s="24"/>
      <c r="S39" s="24"/>
      <c r="T39" s="25"/>
    </row>
    <row r="40" spans="2:20" ht="15.75" thickTop="1" thickBot="1" x14ac:dyDescent="0.25">
      <c r="B40" s="35"/>
      <c r="C40" s="26"/>
      <c r="D40" s="26" t="s">
        <v>8</v>
      </c>
      <c r="E40" s="27" t="s">
        <v>12</v>
      </c>
      <c r="F40" s="28"/>
      <c r="G40" s="28"/>
      <c r="H40" s="28"/>
      <c r="I40" s="28"/>
      <c r="J40" s="29"/>
      <c r="L40" s="35"/>
      <c r="M40" s="26"/>
      <c r="N40" s="30"/>
      <c r="O40" s="31" t="s">
        <v>13</v>
      </c>
      <c r="P40" s="32"/>
      <c r="Q40" s="32"/>
      <c r="R40" s="32"/>
      <c r="S40" s="32"/>
      <c r="T40" s="33"/>
    </row>
    <row r="41" spans="2:20" ht="15.75" thickTop="1" thickBot="1" x14ac:dyDescent="0.25">
      <c r="B41" s="38"/>
      <c r="C41" s="30"/>
      <c r="D41" s="30"/>
      <c r="E41" s="31" t="s">
        <v>13</v>
      </c>
      <c r="F41" s="31"/>
      <c r="G41" s="31"/>
      <c r="H41" s="31"/>
      <c r="I41" s="31"/>
      <c r="J41" s="37"/>
      <c r="L41" s="35"/>
      <c r="M41" s="26"/>
      <c r="N41" s="26" t="s">
        <v>8</v>
      </c>
      <c r="O41" s="27" t="s">
        <v>12</v>
      </c>
      <c r="P41" s="28"/>
      <c r="Q41" s="28"/>
      <c r="R41" s="28"/>
      <c r="S41" s="28"/>
      <c r="T41" s="29"/>
    </row>
    <row r="42" spans="2:20" ht="15.75" thickTop="1" thickBot="1" x14ac:dyDescent="0.25">
      <c r="B42" s="34">
        <v>14</v>
      </c>
      <c r="C42" s="22" t="s">
        <v>6</v>
      </c>
      <c r="D42" s="22" t="s">
        <v>9</v>
      </c>
      <c r="E42" s="23" t="s">
        <v>12</v>
      </c>
      <c r="F42" s="24"/>
      <c r="G42" s="24"/>
      <c r="H42" s="24"/>
      <c r="I42" s="24"/>
      <c r="J42" s="25"/>
      <c r="L42" s="38"/>
      <c r="M42" s="30"/>
      <c r="N42" s="30"/>
      <c r="O42" s="31" t="s">
        <v>13</v>
      </c>
      <c r="P42" s="31"/>
      <c r="Q42" s="31"/>
      <c r="R42" s="31"/>
      <c r="S42" s="31"/>
      <c r="T42" s="37"/>
    </row>
    <row r="43" spans="2:20" ht="15.75" thickTop="1" thickBot="1" x14ac:dyDescent="0.25">
      <c r="B43" s="35"/>
      <c r="C43" s="26"/>
      <c r="D43" s="30"/>
      <c r="E43" s="31" t="s">
        <v>13</v>
      </c>
      <c r="F43" s="32"/>
      <c r="G43" s="32"/>
      <c r="H43" s="32"/>
      <c r="I43" s="32"/>
      <c r="J43" s="33"/>
      <c r="L43" s="34">
        <v>12</v>
      </c>
      <c r="M43" s="22" t="s">
        <v>25</v>
      </c>
      <c r="N43" s="22" t="s">
        <v>9</v>
      </c>
      <c r="O43" s="23" t="s">
        <v>12</v>
      </c>
      <c r="P43" s="24"/>
      <c r="Q43" s="24"/>
      <c r="R43" s="24"/>
      <c r="S43" s="24"/>
      <c r="T43" s="25"/>
    </row>
    <row r="44" spans="2:20" ht="15.75" thickTop="1" thickBot="1" x14ac:dyDescent="0.25">
      <c r="B44" s="35"/>
      <c r="C44" s="26"/>
      <c r="D44" s="26" t="s">
        <v>8</v>
      </c>
      <c r="E44" s="27" t="s">
        <v>12</v>
      </c>
      <c r="F44" s="28"/>
      <c r="G44" s="28"/>
      <c r="H44" s="28"/>
      <c r="I44" s="28"/>
      <c r="J44" s="29"/>
      <c r="L44" s="35"/>
      <c r="M44" s="26"/>
      <c r="N44" s="30"/>
      <c r="O44" s="31" t="s">
        <v>13</v>
      </c>
      <c r="P44" s="32"/>
      <c r="Q44" s="32"/>
      <c r="R44" s="32"/>
      <c r="S44" s="32"/>
      <c r="T44" s="33"/>
    </row>
    <row r="45" spans="2:20" ht="15.75" thickTop="1" thickBot="1" x14ac:dyDescent="0.25">
      <c r="B45" s="35"/>
      <c r="C45" s="26"/>
      <c r="D45" s="30"/>
      <c r="E45" s="27" t="s">
        <v>13</v>
      </c>
      <c r="F45" s="27"/>
      <c r="G45" s="27"/>
      <c r="H45" s="27"/>
      <c r="I45" s="27"/>
      <c r="J45" s="36"/>
      <c r="L45" s="35"/>
      <c r="M45" s="26"/>
      <c r="N45" s="26" t="s">
        <v>8</v>
      </c>
      <c r="O45" s="27" t="s">
        <v>12</v>
      </c>
      <c r="P45" s="28"/>
      <c r="Q45" s="28"/>
      <c r="R45" s="28"/>
      <c r="S45" s="28"/>
      <c r="T45" s="29"/>
    </row>
    <row r="46" spans="2:20" ht="15.75" thickTop="1" thickBot="1" x14ac:dyDescent="0.25">
      <c r="B46" s="35"/>
      <c r="C46" s="22">
        <v>4</v>
      </c>
      <c r="D46" s="22" t="s">
        <v>9</v>
      </c>
      <c r="E46" s="23" t="s">
        <v>12</v>
      </c>
      <c r="F46" s="24"/>
      <c r="G46" s="24"/>
      <c r="H46" s="24"/>
      <c r="I46" s="24"/>
      <c r="J46" s="25"/>
      <c r="L46" s="38"/>
      <c r="M46" s="30"/>
      <c r="N46" s="30"/>
      <c r="O46" s="27" t="s">
        <v>13</v>
      </c>
      <c r="P46" s="27"/>
      <c r="Q46" s="27"/>
      <c r="R46" s="27"/>
      <c r="S46" s="27"/>
      <c r="T46" s="36"/>
    </row>
    <row r="47" spans="2:20" ht="15.75" thickTop="1" thickBot="1" x14ac:dyDescent="0.25">
      <c r="B47" s="35"/>
      <c r="C47" s="26"/>
      <c r="D47" s="30"/>
      <c r="E47" s="31" t="s">
        <v>13</v>
      </c>
      <c r="F47" s="32"/>
      <c r="G47" s="32"/>
      <c r="H47" s="32"/>
      <c r="I47" s="32"/>
      <c r="J47" s="33"/>
      <c r="L47" s="34">
        <v>14</v>
      </c>
      <c r="M47" s="22" t="s">
        <v>25</v>
      </c>
      <c r="N47" s="22" t="s">
        <v>9</v>
      </c>
      <c r="O47" s="23" t="s">
        <v>12</v>
      </c>
      <c r="P47" s="24"/>
      <c r="Q47" s="24"/>
      <c r="R47" s="24"/>
      <c r="S47" s="24"/>
      <c r="T47" s="25"/>
    </row>
    <row r="48" spans="2:20" ht="15.75" thickTop="1" thickBot="1" x14ac:dyDescent="0.25">
      <c r="B48" s="35"/>
      <c r="C48" s="26"/>
      <c r="D48" s="26" t="s">
        <v>8</v>
      </c>
      <c r="E48" s="27" t="s">
        <v>12</v>
      </c>
      <c r="F48" s="28"/>
      <c r="G48" s="28"/>
      <c r="H48" s="28"/>
      <c r="I48" s="28"/>
      <c r="J48" s="29"/>
      <c r="L48" s="35"/>
      <c r="M48" s="26"/>
      <c r="N48" s="30"/>
      <c r="O48" s="31" t="s">
        <v>13</v>
      </c>
      <c r="P48" s="32"/>
      <c r="Q48" s="32"/>
      <c r="R48" s="32"/>
      <c r="S48" s="32"/>
      <c r="T48" s="33"/>
    </row>
    <row r="49" spans="2:20" ht="15.75" thickTop="1" thickBot="1" x14ac:dyDescent="0.25">
      <c r="B49" s="35"/>
      <c r="C49" s="26"/>
      <c r="D49" s="30"/>
      <c r="E49" s="27" t="s">
        <v>13</v>
      </c>
      <c r="F49" s="27"/>
      <c r="G49" s="27"/>
      <c r="H49" s="27"/>
      <c r="I49" s="27"/>
      <c r="J49" s="36"/>
      <c r="L49" s="35"/>
      <c r="M49" s="26"/>
      <c r="N49" s="26" t="s">
        <v>8</v>
      </c>
      <c r="O49" s="27" t="s">
        <v>12</v>
      </c>
      <c r="P49" s="28"/>
      <c r="Q49" s="28"/>
      <c r="R49" s="28"/>
      <c r="S49" s="28"/>
      <c r="T49" s="29"/>
    </row>
    <row r="50" spans="2:20" ht="15.75" thickTop="1" thickBot="1" x14ac:dyDescent="0.25">
      <c r="B50" s="35"/>
      <c r="C50" s="22">
        <v>16</v>
      </c>
      <c r="D50" s="22" t="s">
        <v>9</v>
      </c>
      <c r="E50" s="23" t="s">
        <v>12</v>
      </c>
      <c r="F50" s="24"/>
      <c r="G50" s="24"/>
      <c r="H50" s="24"/>
      <c r="I50" s="24"/>
      <c r="J50" s="25"/>
      <c r="L50" s="38"/>
      <c r="M50" s="30"/>
      <c r="N50" s="30"/>
      <c r="O50" s="27" t="s">
        <v>13</v>
      </c>
      <c r="P50" s="27"/>
      <c r="Q50" s="27"/>
      <c r="R50" s="27"/>
      <c r="S50" s="27"/>
      <c r="T50" s="36"/>
    </row>
    <row r="51" spans="2:20" ht="15.75" thickTop="1" thickBot="1" x14ac:dyDescent="0.25">
      <c r="B51" s="35"/>
      <c r="C51" s="26"/>
      <c r="D51" s="30"/>
      <c r="E51" s="31" t="s">
        <v>13</v>
      </c>
      <c r="F51" s="32"/>
      <c r="G51" s="32"/>
      <c r="H51" s="32"/>
      <c r="I51" s="32"/>
      <c r="J51" s="33"/>
      <c r="L51" s="34">
        <v>20</v>
      </c>
      <c r="M51" s="22" t="s">
        <v>25</v>
      </c>
      <c r="N51" s="22" t="s">
        <v>9</v>
      </c>
      <c r="O51" s="23" t="s">
        <v>12</v>
      </c>
      <c r="P51" s="24"/>
      <c r="Q51" s="24"/>
      <c r="R51" s="24"/>
      <c r="S51" s="24"/>
      <c r="T51" s="25"/>
    </row>
    <row r="52" spans="2:20" ht="15.75" thickTop="1" thickBot="1" x14ac:dyDescent="0.25">
      <c r="B52" s="35"/>
      <c r="C52" s="26"/>
      <c r="D52" s="26" t="s">
        <v>8</v>
      </c>
      <c r="E52" s="27" t="s">
        <v>12</v>
      </c>
      <c r="F52" s="28"/>
      <c r="G52" s="28"/>
      <c r="H52" s="28"/>
      <c r="I52" s="28"/>
      <c r="J52" s="29"/>
      <c r="L52" s="35"/>
      <c r="M52" s="26"/>
      <c r="N52" s="30"/>
      <c r="O52" s="31" t="s">
        <v>13</v>
      </c>
      <c r="P52" s="32"/>
      <c r="Q52" s="32"/>
      <c r="R52" s="32"/>
      <c r="S52" s="32"/>
      <c r="T52" s="33"/>
    </row>
    <row r="53" spans="2:20" ht="15.75" thickTop="1" thickBot="1" x14ac:dyDescent="0.25">
      <c r="B53" s="35"/>
      <c r="C53" s="26"/>
      <c r="D53" s="30"/>
      <c r="E53" s="27" t="s">
        <v>13</v>
      </c>
      <c r="F53" s="27"/>
      <c r="G53" s="27"/>
      <c r="H53" s="27"/>
      <c r="I53" s="27"/>
      <c r="J53" s="36"/>
      <c r="L53" s="35"/>
      <c r="M53" s="26"/>
      <c r="N53" s="26" t="s">
        <v>8</v>
      </c>
      <c r="O53" s="27" t="s">
        <v>12</v>
      </c>
      <c r="P53" s="28"/>
      <c r="Q53" s="28"/>
      <c r="R53" s="28"/>
      <c r="S53" s="28"/>
      <c r="T53" s="29"/>
    </row>
    <row r="54" spans="2:20" ht="15.75" thickTop="1" thickBot="1" x14ac:dyDescent="0.25">
      <c r="B54" s="35"/>
      <c r="C54" s="22" t="s">
        <v>22</v>
      </c>
      <c r="D54" s="22" t="s">
        <v>9</v>
      </c>
      <c r="E54" s="23" t="s">
        <v>12</v>
      </c>
      <c r="F54" s="24"/>
      <c r="G54" s="24"/>
      <c r="H54" s="24"/>
      <c r="I54" s="24"/>
      <c r="J54" s="25"/>
      <c r="L54" s="38"/>
      <c r="M54" s="30"/>
      <c r="N54" s="30"/>
      <c r="O54" s="31" t="s">
        <v>13</v>
      </c>
      <c r="P54" s="31"/>
      <c r="Q54" s="31"/>
      <c r="R54" s="31"/>
      <c r="S54" s="31"/>
      <c r="T54" s="37"/>
    </row>
    <row r="55" spans="2:20" ht="15.75" thickTop="1" thickBot="1" x14ac:dyDescent="0.25">
      <c r="B55" s="35"/>
      <c r="C55" s="26"/>
      <c r="D55" s="30"/>
      <c r="E55" s="31" t="s">
        <v>13</v>
      </c>
      <c r="F55" s="32"/>
      <c r="G55" s="32"/>
      <c r="H55" s="32"/>
      <c r="I55" s="32"/>
      <c r="J55" s="33"/>
    </row>
    <row r="56" spans="2:20" ht="15.75" thickBot="1" x14ac:dyDescent="0.25">
      <c r="B56" s="35"/>
      <c r="C56" s="26"/>
      <c r="D56" s="26" t="s">
        <v>8</v>
      </c>
      <c r="E56" s="27" t="s">
        <v>12</v>
      </c>
      <c r="F56" s="28"/>
      <c r="G56" s="28"/>
      <c r="H56" s="28"/>
      <c r="I56" s="28"/>
      <c r="J56" s="29"/>
      <c r="L56" s="2" t="s">
        <v>4</v>
      </c>
      <c r="M56" s="2" t="s">
        <v>7</v>
      </c>
      <c r="N56" s="2" t="s">
        <v>5</v>
      </c>
      <c r="O56" s="2"/>
      <c r="P56" s="3" t="s">
        <v>0</v>
      </c>
      <c r="Q56" s="3" t="s">
        <v>30</v>
      </c>
      <c r="R56" s="3" t="s">
        <v>1</v>
      </c>
      <c r="S56" s="3" t="s">
        <v>2</v>
      </c>
      <c r="T56" s="3" t="s">
        <v>3</v>
      </c>
    </row>
    <row r="57" spans="2:20" ht="15.75" thickTop="1" thickBot="1" x14ac:dyDescent="0.25">
      <c r="B57" s="35"/>
      <c r="C57" s="26"/>
      <c r="D57" s="30"/>
      <c r="E57" s="27" t="s">
        <v>13</v>
      </c>
      <c r="F57" s="27"/>
      <c r="G57" s="27"/>
      <c r="H57" s="27"/>
      <c r="I57" s="27"/>
      <c r="J57" s="36"/>
      <c r="K57" s="1" t="s">
        <v>28</v>
      </c>
      <c r="L57" s="34">
        <v>6</v>
      </c>
      <c r="M57" s="22" t="s">
        <v>25</v>
      </c>
      <c r="N57" s="22" t="s">
        <v>9</v>
      </c>
      <c r="O57" s="23" t="s">
        <v>12</v>
      </c>
      <c r="P57" s="24"/>
      <c r="Q57" s="24"/>
      <c r="R57" s="24"/>
      <c r="S57" s="24"/>
      <c r="T57" s="25"/>
    </row>
    <row r="58" spans="2:20" ht="15.75" thickTop="1" thickBot="1" x14ac:dyDescent="0.25">
      <c r="B58" s="35"/>
      <c r="C58" s="22" t="s">
        <v>21</v>
      </c>
      <c r="D58" s="22" t="s">
        <v>9</v>
      </c>
      <c r="E58" s="23" t="s">
        <v>12</v>
      </c>
      <c r="F58" s="24"/>
      <c r="G58" s="24"/>
      <c r="H58" s="24"/>
      <c r="I58" s="24"/>
      <c r="J58" s="25"/>
      <c r="L58" s="35"/>
      <c r="M58" s="26"/>
      <c r="N58" s="30"/>
      <c r="O58" s="31" t="s">
        <v>13</v>
      </c>
      <c r="P58" s="32"/>
      <c r="Q58" s="32"/>
      <c r="R58" s="32"/>
      <c r="S58" s="32"/>
      <c r="T58" s="33"/>
    </row>
    <row r="59" spans="2:20" ht="15.75" thickTop="1" thickBot="1" x14ac:dyDescent="0.25">
      <c r="B59" s="35"/>
      <c r="C59" s="26"/>
      <c r="D59" s="30"/>
      <c r="E59" s="31" t="s">
        <v>13</v>
      </c>
      <c r="F59" s="32"/>
      <c r="G59" s="32"/>
      <c r="H59" s="32"/>
      <c r="I59" s="32"/>
      <c r="J59" s="33"/>
      <c r="L59" s="35"/>
      <c r="M59" s="26"/>
      <c r="N59" s="26" t="s">
        <v>8</v>
      </c>
      <c r="O59" s="27" t="s">
        <v>12</v>
      </c>
      <c r="P59" s="28"/>
      <c r="Q59" s="28"/>
      <c r="R59" s="28"/>
      <c r="S59" s="28"/>
      <c r="T59" s="29"/>
    </row>
    <row r="60" spans="2:20" ht="15.75" thickTop="1" thickBot="1" x14ac:dyDescent="0.25">
      <c r="B60" s="35"/>
      <c r="C60" s="26"/>
      <c r="D60" s="26" t="s">
        <v>8</v>
      </c>
      <c r="E60" s="27" t="s">
        <v>12</v>
      </c>
      <c r="F60" s="28"/>
      <c r="G60" s="28"/>
      <c r="H60" s="28"/>
      <c r="I60" s="28"/>
      <c r="J60" s="29"/>
      <c r="L60" s="38"/>
      <c r="M60" s="30"/>
      <c r="N60" s="30"/>
      <c r="O60" s="31" t="s">
        <v>13</v>
      </c>
      <c r="P60" s="31"/>
      <c r="Q60" s="31"/>
      <c r="R60" s="31"/>
      <c r="S60" s="31"/>
      <c r="T60" s="37"/>
    </row>
    <row r="61" spans="2:20" ht="15.75" thickTop="1" thickBot="1" x14ac:dyDescent="0.25">
      <c r="B61" s="38"/>
      <c r="C61" s="30"/>
      <c r="D61" s="30"/>
      <c r="E61" s="31" t="s">
        <v>13</v>
      </c>
      <c r="F61" s="31"/>
      <c r="G61" s="31"/>
      <c r="H61" s="31"/>
      <c r="I61" s="31"/>
      <c r="J61" s="37"/>
      <c r="L61" s="34">
        <v>12</v>
      </c>
      <c r="M61" s="22" t="s">
        <v>25</v>
      </c>
      <c r="N61" s="22" t="s">
        <v>9</v>
      </c>
      <c r="O61" s="23" t="s">
        <v>12</v>
      </c>
      <c r="P61" s="24"/>
      <c r="Q61" s="24"/>
      <c r="R61" s="24"/>
      <c r="S61" s="24"/>
      <c r="T61" s="25"/>
    </row>
    <row r="62" spans="2:20" ht="15.75" thickTop="1" thickBot="1" x14ac:dyDescent="0.25">
      <c r="B62" s="34">
        <v>20</v>
      </c>
      <c r="C62" s="22" t="s">
        <v>6</v>
      </c>
      <c r="D62" s="22" t="s">
        <v>9</v>
      </c>
      <c r="E62" s="23" t="s">
        <v>12</v>
      </c>
      <c r="F62" s="24"/>
      <c r="G62" s="24"/>
      <c r="H62" s="24"/>
      <c r="I62" s="24"/>
      <c r="J62" s="25"/>
      <c r="L62" s="35"/>
      <c r="M62" s="26"/>
      <c r="N62" s="30"/>
      <c r="O62" s="31" t="s">
        <v>13</v>
      </c>
      <c r="P62" s="32"/>
      <c r="Q62" s="32"/>
      <c r="R62" s="32"/>
      <c r="S62" s="32"/>
      <c r="T62" s="33"/>
    </row>
    <row r="63" spans="2:20" ht="15.75" thickTop="1" thickBot="1" x14ac:dyDescent="0.25">
      <c r="B63" s="35"/>
      <c r="C63" s="26"/>
      <c r="D63" s="30"/>
      <c r="E63" s="31" t="s">
        <v>13</v>
      </c>
      <c r="F63" s="32"/>
      <c r="G63" s="32"/>
      <c r="H63" s="32"/>
      <c r="I63" s="32"/>
      <c r="J63" s="33"/>
      <c r="L63" s="35"/>
      <c r="M63" s="26"/>
      <c r="N63" s="26" t="s">
        <v>8</v>
      </c>
      <c r="O63" s="27" t="s">
        <v>12</v>
      </c>
      <c r="P63" s="28"/>
      <c r="Q63" s="28"/>
      <c r="R63" s="28"/>
      <c r="S63" s="28"/>
      <c r="T63" s="29"/>
    </row>
    <row r="64" spans="2:20" ht="15.75" thickTop="1" thickBot="1" x14ac:dyDescent="0.25">
      <c r="B64" s="35"/>
      <c r="C64" s="26"/>
      <c r="D64" s="26" t="s">
        <v>8</v>
      </c>
      <c r="E64" s="27" t="s">
        <v>12</v>
      </c>
      <c r="F64" s="28"/>
      <c r="G64" s="28"/>
      <c r="H64" s="28"/>
      <c r="I64" s="28"/>
      <c r="J64" s="29"/>
      <c r="L64" s="38"/>
      <c r="M64" s="30"/>
      <c r="N64" s="30"/>
      <c r="O64" s="27" t="s">
        <v>13</v>
      </c>
      <c r="P64" s="27"/>
      <c r="Q64" s="27"/>
      <c r="R64" s="27"/>
      <c r="S64" s="27"/>
      <c r="T64" s="36"/>
    </row>
    <row r="65" spans="2:20" ht="15.75" thickTop="1" thickBot="1" x14ac:dyDescent="0.25">
      <c r="B65" s="35"/>
      <c r="C65" s="26"/>
      <c r="D65" s="30"/>
      <c r="E65" s="27" t="s">
        <v>13</v>
      </c>
      <c r="F65" s="27"/>
      <c r="G65" s="27"/>
      <c r="H65" s="27"/>
      <c r="I65" s="27"/>
      <c r="J65" s="36"/>
      <c r="L65" s="34">
        <v>14</v>
      </c>
      <c r="M65" s="22" t="s">
        <v>25</v>
      </c>
      <c r="N65" s="22" t="s">
        <v>9</v>
      </c>
      <c r="O65" s="23" t="s">
        <v>12</v>
      </c>
      <c r="P65" s="24"/>
      <c r="Q65" s="24"/>
      <c r="R65" s="24"/>
      <c r="S65" s="24"/>
      <c r="T65" s="25"/>
    </row>
    <row r="66" spans="2:20" ht="15.75" thickTop="1" thickBot="1" x14ac:dyDescent="0.25">
      <c r="B66" s="35"/>
      <c r="C66" s="22">
        <v>4</v>
      </c>
      <c r="D66" s="22" t="s">
        <v>9</v>
      </c>
      <c r="E66" s="23" t="s">
        <v>12</v>
      </c>
      <c r="F66" s="24"/>
      <c r="G66" s="24"/>
      <c r="H66" s="24"/>
      <c r="I66" s="24"/>
      <c r="J66" s="25"/>
      <c r="L66" s="35"/>
      <c r="M66" s="26"/>
      <c r="N66" s="30"/>
      <c r="O66" s="31" t="s">
        <v>13</v>
      </c>
      <c r="P66" s="32"/>
      <c r="Q66" s="32"/>
      <c r="R66" s="32"/>
      <c r="S66" s="32"/>
      <c r="T66" s="33"/>
    </row>
    <row r="67" spans="2:20" ht="15.75" thickTop="1" thickBot="1" x14ac:dyDescent="0.25">
      <c r="B67" s="35"/>
      <c r="C67" s="26"/>
      <c r="D67" s="30"/>
      <c r="E67" s="31" t="s">
        <v>13</v>
      </c>
      <c r="F67" s="32"/>
      <c r="G67" s="32"/>
      <c r="H67" s="32"/>
      <c r="I67" s="32"/>
      <c r="J67" s="33"/>
      <c r="L67" s="35"/>
      <c r="M67" s="26"/>
      <c r="N67" s="26" t="s">
        <v>8</v>
      </c>
      <c r="O67" s="27" t="s">
        <v>12</v>
      </c>
      <c r="P67" s="28"/>
      <c r="Q67" s="28"/>
      <c r="R67" s="28"/>
      <c r="S67" s="28"/>
      <c r="T67" s="29"/>
    </row>
    <row r="68" spans="2:20" ht="15.75" thickTop="1" thickBot="1" x14ac:dyDescent="0.25">
      <c r="B68" s="35"/>
      <c r="C68" s="26"/>
      <c r="D68" s="26" t="s">
        <v>8</v>
      </c>
      <c r="E68" s="27" t="s">
        <v>12</v>
      </c>
      <c r="F68" s="28"/>
      <c r="G68" s="28"/>
      <c r="H68" s="28"/>
      <c r="I68" s="28"/>
      <c r="J68" s="29"/>
      <c r="L68" s="38"/>
      <c r="M68" s="30"/>
      <c r="N68" s="30"/>
      <c r="O68" s="27" t="s">
        <v>13</v>
      </c>
      <c r="P68" s="27"/>
      <c r="Q68" s="27"/>
      <c r="R68" s="27"/>
      <c r="S68" s="27"/>
      <c r="T68" s="36"/>
    </row>
    <row r="69" spans="2:20" ht="15.75" thickTop="1" thickBot="1" x14ac:dyDescent="0.25">
      <c r="B69" s="35"/>
      <c r="C69" s="26"/>
      <c r="D69" s="30"/>
      <c r="E69" s="27" t="s">
        <v>13</v>
      </c>
      <c r="F69" s="27"/>
      <c r="G69" s="27"/>
      <c r="H69" s="27"/>
      <c r="I69" s="27"/>
      <c r="J69" s="36"/>
      <c r="L69" s="34">
        <v>20</v>
      </c>
      <c r="M69" s="22" t="s">
        <v>25</v>
      </c>
      <c r="N69" s="22" t="s">
        <v>9</v>
      </c>
      <c r="O69" s="23" t="s">
        <v>12</v>
      </c>
      <c r="P69" s="24"/>
      <c r="Q69" s="24"/>
      <c r="R69" s="24"/>
      <c r="S69" s="24"/>
      <c r="T69" s="25"/>
    </row>
    <row r="70" spans="2:20" ht="15.75" thickTop="1" thickBot="1" x14ac:dyDescent="0.25">
      <c r="B70" s="35"/>
      <c r="C70" s="22">
        <v>16</v>
      </c>
      <c r="D70" s="22" t="s">
        <v>9</v>
      </c>
      <c r="E70" s="23" t="s">
        <v>12</v>
      </c>
      <c r="F70" s="24"/>
      <c r="G70" s="24"/>
      <c r="H70" s="24"/>
      <c r="I70" s="24"/>
      <c r="J70" s="25"/>
      <c r="L70" s="35"/>
      <c r="M70" s="26"/>
      <c r="N70" s="30"/>
      <c r="O70" s="31" t="s">
        <v>13</v>
      </c>
      <c r="P70" s="32"/>
      <c r="Q70" s="32"/>
      <c r="R70" s="32"/>
      <c r="S70" s="32"/>
      <c r="T70" s="33"/>
    </row>
    <row r="71" spans="2:20" ht="15.75" thickTop="1" thickBot="1" x14ac:dyDescent="0.25">
      <c r="B71" s="35"/>
      <c r="C71" s="26"/>
      <c r="D71" s="30"/>
      <c r="E71" s="31" t="s">
        <v>13</v>
      </c>
      <c r="F71" s="32"/>
      <c r="G71" s="32"/>
      <c r="H71" s="32"/>
      <c r="I71" s="32"/>
      <c r="J71" s="33"/>
      <c r="L71" s="35"/>
      <c r="M71" s="26"/>
      <c r="N71" s="26" t="s">
        <v>8</v>
      </c>
      <c r="O71" s="27" t="s">
        <v>12</v>
      </c>
      <c r="P71" s="28"/>
      <c r="Q71" s="28"/>
      <c r="R71" s="28"/>
      <c r="S71" s="28"/>
      <c r="T71" s="29"/>
    </row>
    <row r="72" spans="2:20" ht="15.75" thickTop="1" thickBot="1" x14ac:dyDescent="0.25">
      <c r="B72" s="35"/>
      <c r="C72" s="26"/>
      <c r="D72" s="26" t="s">
        <v>8</v>
      </c>
      <c r="E72" s="27" t="s">
        <v>12</v>
      </c>
      <c r="F72" s="28"/>
      <c r="G72" s="28"/>
      <c r="H72" s="28"/>
      <c r="I72" s="28"/>
      <c r="J72" s="29"/>
      <c r="L72" s="38"/>
      <c r="M72" s="30"/>
      <c r="N72" s="30"/>
      <c r="O72" s="31" t="s">
        <v>13</v>
      </c>
      <c r="P72" s="31"/>
      <c r="Q72" s="31"/>
      <c r="R72" s="31"/>
      <c r="S72" s="31"/>
      <c r="T72" s="37"/>
    </row>
    <row r="73" spans="2:20" ht="15" thickTop="1" x14ac:dyDescent="0.2">
      <c r="B73" s="35"/>
      <c r="C73" s="26"/>
      <c r="D73" s="30"/>
      <c r="E73" s="27" t="s">
        <v>13</v>
      </c>
      <c r="F73" s="27"/>
      <c r="G73" s="27"/>
      <c r="H73" s="27"/>
      <c r="I73" s="27"/>
      <c r="J73" s="36"/>
    </row>
    <row r="74" spans="2:20" ht="15" thickBot="1" x14ac:dyDescent="0.25">
      <c r="B74" s="35"/>
      <c r="C74" s="22" t="s">
        <v>22</v>
      </c>
      <c r="D74" s="22" t="s">
        <v>9</v>
      </c>
      <c r="E74" s="23" t="s">
        <v>12</v>
      </c>
      <c r="F74" s="24"/>
      <c r="G74" s="24"/>
      <c r="H74" s="24"/>
      <c r="I74" s="24"/>
      <c r="J74" s="25"/>
    </row>
    <row r="75" spans="2:20" ht="15" thickTop="1" x14ac:dyDescent="0.2">
      <c r="B75" s="35"/>
      <c r="C75" s="26"/>
      <c r="D75" s="30"/>
      <c r="E75" s="31" t="s">
        <v>13</v>
      </c>
      <c r="F75" s="32"/>
      <c r="G75" s="32"/>
      <c r="H75" s="32"/>
      <c r="I75" s="32"/>
      <c r="J75" s="33"/>
    </row>
    <row r="76" spans="2:20" ht="15" thickBot="1" x14ac:dyDescent="0.25">
      <c r="B76" s="35"/>
      <c r="C76" s="26"/>
      <c r="D76" s="26" t="s">
        <v>8</v>
      </c>
      <c r="E76" s="27" t="s">
        <v>12</v>
      </c>
      <c r="F76" s="28"/>
      <c r="G76" s="28"/>
      <c r="H76" s="28"/>
      <c r="I76" s="28"/>
      <c r="J76" s="29"/>
    </row>
    <row r="77" spans="2:20" ht="15" thickTop="1" x14ac:dyDescent="0.2">
      <c r="B77" s="35"/>
      <c r="C77" s="26"/>
      <c r="D77" s="30"/>
      <c r="E77" s="27" t="s">
        <v>13</v>
      </c>
      <c r="F77" s="27"/>
      <c r="G77" s="27"/>
      <c r="H77" s="27"/>
      <c r="I77" s="27"/>
      <c r="J77" s="36"/>
    </row>
    <row r="78" spans="2:20" ht="15" thickBot="1" x14ac:dyDescent="0.25">
      <c r="B78" s="35"/>
      <c r="C78" s="22" t="s">
        <v>21</v>
      </c>
      <c r="D78" s="22" t="s">
        <v>9</v>
      </c>
      <c r="E78" s="23" t="s">
        <v>12</v>
      </c>
      <c r="F78" s="24"/>
      <c r="G78" s="24"/>
      <c r="H78" s="24"/>
      <c r="I78" s="24"/>
      <c r="J78" s="25"/>
    </row>
    <row r="79" spans="2:20" ht="15" thickTop="1" x14ac:dyDescent="0.2">
      <c r="B79" s="35"/>
      <c r="C79" s="26"/>
      <c r="D79" s="30"/>
      <c r="E79" s="31" t="s">
        <v>13</v>
      </c>
      <c r="F79" s="32"/>
      <c r="G79" s="32"/>
      <c r="H79" s="32"/>
      <c r="I79" s="32"/>
      <c r="J79" s="33"/>
    </row>
    <row r="80" spans="2:20" ht="15" thickBot="1" x14ac:dyDescent="0.25">
      <c r="B80" s="35"/>
      <c r="C80" s="26"/>
      <c r="D80" s="26" t="s">
        <v>8</v>
      </c>
      <c r="E80" s="27" t="s">
        <v>12</v>
      </c>
      <c r="F80" s="28"/>
      <c r="G80" s="28"/>
      <c r="H80" s="28"/>
      <c r="I80" s="28"/>
      <c r="J80" s="29"/>
    </row>
    <row r="81" spans="2:10" ht="15" thickTop="1" x14ac:dyDescent="0.2">
      <c r="B81" s="38"/>
      <c r="C81" s="30"/>
      <c r="D81" s="30"/>
      <c r="E81" s="31" t="s">
        <v>13</v>
      </c>
      <c r="F81" s="31"/>
      <c r="G81" s="31"/>
      <c r="H81" s="31"/>
      <c r="I81" s="31"/>
      <c r="J81" s="37"/>
    </row>
  </sheetData>
  <mergeCells count="128">
    <mergeCell ref="N65:N66"/>
    <mergeCell ref="N67:N68"/>
    <mergeCell ref="L69:L72"/>
    <mergeCell ref="M69:M72"/>
    <mergeCell ref="N69:N70"/>
    <mergeCell ref="N71:N72"/>
    <mergeCell ref="N57:N58"/>
    <mergeCell ref="N59:N60"/>
    <mergeCell ref="L61:L64"/>
    <mergeCell ref="M61:M64"/>
    <mergeCell ref="N61:N62"/>
    <mergeCell ref="N63:N64"/>
    <mergeCell ref="N47:N48"/>
    <mergeCell ref="N49:N50"/>
    <mergeCell ref="L51:L54"/>
    <mergeCell ref="M51:M54"/>
    <mergeCell ref="N51:N52"/>
    <mergeCell ref="N53:N54"/>
    <mergeCell ref="N39:N40"/>
    <mergeCell ref="N41:N42"/>
    <mergeCell ref="L43:L46"/>
    <mergeCell ref="M43:M46"/>
    <mergeCell ref="N43:N44"/>
    <mergeCell ref="N45:N46"/>
    <mergeCell ref="N29:N30"/>
    <mergeCell ref="N31:N32"/>
    <mergeCell ref="L33:L36"/>
    <mergeCell ref="M33:M36"/>
    <mergeCell ref="N33:N34"/>
    <mergeCell ref="N35:N36"/>
    <mergeCell ref="L2:L5"/>
    <mergeCell ref="L6:L9"/>
    <mergeCell ref="L10:L13"/>
    <mergeCell ref="L14:L17"/>
    <mergeCell ref="L21:L24"/>
    <mergeCell ref="M21:M24"/>
    <mergeCell ref="N21:N22"/>
    <mergeCell ref="N23:N24"/>
    <mergeCell ref="L25:L28"/>
    <mergeCell ref="M25:M28"/>
    <mergeCell ref="N25:N26"/>
    <mergeCell ref="N27:N28"/>
    <mergeCell ref="L29:L32"/>
    <mergeCell ref="M29:M32"/>
    <mergeCell ref="N2:N3"/>
    <mergeCell ref="N4:N5"/>
    <mergeCell ref="M6:M9"/>
    <mergeCell ref="N6:N7"/>
    <mergeCell ref="N8:N9"/>
    <mergeCell ref="M10:M13"/>
    <mergeCell ref="N10:N11"/>
    <mergeCell ref="N12:N13"/>
    <mergeCell ref="M14:M17"/>
    <mergeCell ref="N14:N15"/>
    <mergeCell ref="N16:N17"/>
    <mergeCell ref="C78:C81"/>
    <mergeCell ref="D78:D79"/>
    <mergeCell ref="D80:D81"/>
    <mergeCell ref="M2:M5"/>
    <mergeCell ref="L39:L42"/>
    <mergeCell ref="M39:M42"/>
    <mergeCell ref="L47:L50"/>
    <mergeCell ref="M47:M50"/>
    <mergeCell ref="L57:L60"/>
    <mergeCell ref="M57:M60"/>
    <mergeCell ref="L65:L68"/>
    <mergeCell ref="M65:M68"/>
    <mergeCell ref="C58:C61"/>
    <mergeCell ref="D58:D59"/>
    <mergeCell ref="D60:D61"/>
    <mergeCell ref="B62:B81"/>
    <mergeCell ref="C62:C65"/>
    <mergeCell ref="D62:D63"/>
    <mergeCell ref="D64:D65"/>
    <mergeCell ref="C66:C69"/>
    <mergeCell ref="D66:D67"/>
    <mergeCell ref="D68:D69"/>
    <mergeCell ref="C70:C73"/>
    <mergeCell ref="D70:D71"/>
    <mergeCell ref="D72:D73"/>
    <mergeCell ref="C74:C77"/>
    <mergeCell ref="D74:D75"/>
    <mergeCell ref="D76:D77"/>
    <mergeCell ref="C38:C41"/>
    <mergeCell ref="D38:D39"/>
    <mergeCell ref="D40:D41"/>
    <mergeCell ref="B42:B61"/>
    <mergeCell ref="C42:C45"/>
    <mergeCell ref="D42:D43"/>
    <mergeCell ref="D44:D45"/>
    <mergeCell ref="C46:C49"/>
    <mergeCell ref="D46:D47"/>
    <mergeCell ref="D48:D49"/>
    <mergeCell ref="C50:C53"/>
    <mergeCell ref="D50:D51"/>
    <mergeCell ref="D52:D53"/>
    <mergeCell ref="C54:C57"/>
    <mergeCell ref="D54:D55"/>
    <mergeCell ref="D56:D57"/>
    <mergeCell ref="C30:C33"/>
    <mergeCell ref="D30:D31"/>
    <mergeCell ref="D32:D33"/>
    <mergeCell ref="C34:C37"/>
    <mergeCell ref="D34:D35"/>
    <mergeCell ref="D36:D37"/>
    <mergeCell ref="D22:D23"/>
    <mergeCell ref="D24:D25"/>
    <mergeCell ref="C26:C29"/>
    <mergeCell ref="D26:D27"/>
    <mergeCell ref="D28:D29"/>
    <mergeCell ref="D12:D13"/>
    <mergeCell ref="D14:D15"/>
    <mergeCell ref="D16:D17"/>
    <mergeCell ref="D18:D19"/>
    <mergeCell ref="D20:D21"/>
    <mergeCell ref="D2:D3"/>
    <mergeCell ref="D4:D5"/>
    <mergeCell ref="D6:D7"/>
    <mergeCell ref="D8:D9"/>
    <mergeCell ref="D10:D11"/>
    <mergeCell ref="C2:C5"/>
    <mergeCell ref="C6:C9"/>
    <mergeCell ref="C10:C13"/>
    <mergeCell ref="C14:C17"/>
    <mergeCell ref="C18:C21"/>
    <mergeCell ref="B22:B41"/>
    <mergeCell ref="B2:B21"/>
    <mergeCell ref="C22:C2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8686-72A7-46D8-AA51-E7A488E224A0}">
  <dimension ref="B1:AI141"/>
  <sheetViews>
    <sheetView tabSelected="1" workbookViewId="0">
      <selection activeCell="R121" sqref="R121"/>
    </sheetView>
  </sheetViews>
  <sheetFormatPr defaultRowHeight="14.25" x14ac:dyDescent="0.2"/>
  <sheetData>
    <row r="1" spans="2:35" ht="15" x14ac:dyDescent="0.2">
      <c r="B1" s="5" t="s">
        <v>10</v>
      </c>
      <c r="C1" s="2" t="s">
        <v>4</v>
      </c>
      <c r="D1" s="2" t="s">
        <v>7</v>
      </c>
      <c r="E1" s="2" t="s">
        <v>5</v>
      </c>
      <c r="F1" s="2" t="s">
        <v>11</v>
      </c>
      <c r="G1" s="3" t="s">
        <v>0</v>
      </c>
      <c r="H1" s="3" t="s">
        <v>31</v>
      </c>
      <c r="I1" s="3" t="s">
        <v>1</v>
      </c>
      <c r="J1" s="3" t="s">
        <v>2</v>
      </c>
      <c r="K1" s="3" t="s">
        <v>3</v>
      </c>
      <c r="L1" s="2" t="s">
        <v>5</v>
      </c>
      <c r="M1" s="2" t="s">
        <v>11</v>
      </c>
      <c r="N1" s="3" t="s">
        <v>0</v>
      </c>
      <c r="O1" s="3" t="s">
        <v>31</v>
      </c>
      <c r="P1" s="3" t="s">
        <v>1</v>
      </c>
      <c r="Q1" s="3" t="s">
        <v>2</v>
      </c>
      <c r="R1" s="3" t="s">
        <v>3</v>
      </c>
      <c r="U1" s="2" t="s">
        <v>4</v>
      </c>
      <c r="V1" s="2" t="s">
        <v>5</v>
      </c>
      <c r="W1" s="2" t="s">
        <v>11</v>
      </c>
      <c r="X1" s="3" t="s">
        <v>0</v>
      </c>
      <c r="Y1" s="3" t="s">
        <v>31</v>
      </c>
      <c r="Z1" s="3" t="s">
        <v>1</v>
      </c>
      <c r="AA1" s="3" t="s">
        <v>2</v>
      </c>
      <c r="AB1" s="3" t="s">
        <v>3</v>
      </c>
      <c r="AC1" s="2" t="s">
        <v>5</v>
      </c>
      <c r="AD1" s="2" t="s">
        <v>11</v>
      </c>
      <c r="AE1" s="3" t="s">
        <v>0</v>
      </c>
      <c r="AF1" s="3" t="s">
        <v>31</v>
      </c>
      <c r="AG1" s="3" t="s">
        <v>1</v>
      </c>
      <c r="AH1" s="3" t="s">
        <v>2</v>
      </c>
      <c r="AI1" s="3" t="s">
        <v>3</v>
      </c>
    </row>
    <row r="2" spans="2:35" x14ac:dyDescent="0.2">
      <c r="B2" s="15" t="s">
        <v>20</v>
      </c>
      <c r="C2" s="15">
        <v>6</v>
      </c>
      <c r="D2" s="15" t="s">
        <v>15</v>
      </c>
      <c r="E2" s="15" t="s">
        <v>9</v>
      </c>
      <c r="F2" s="6">
        <v>1</v>
      </c>
      <c r="G2" s="4">
        <v>31.485616683959901</v>
      </c>
      <c r="H2" s="4">
        <v>9.3354813754558494E-2</v>
      </c>
      <c r="I2" s="4">
        <v>1704.77221679687</v>
      </c>
      <c r="J2" s="4">
        <v>41.288887328152498</v>
      </c>
      <c r="K2" s="4">
        <v>0.98018884658813399</v>
      </c>
      <c r="L2" s="17" t="s">
        <v>14</v>
      </c>
      <c r="M2" s="6">
        <v>1</v>
      </c>
      <c r="N2" s="4">
        <v>32.114040374755803</v>
      </c>
      <c r="O2" s="4">
        <v>0.241020992398262</v>
      </c>
      <c r="P2" s="4">
        <v>1880.08251953125</v>
      </c>
      <c r="Q2" s="4">
        <v>43.359918352451302</v>
      </c>
      <c r="R2" s="4">
        <v>0.97728407382964999</v>
      </c>
      <c r="T2" s="1" t="s">
        <v>29</v>
      </c>
      <c r="U2" s="15">
        <v>6</v>
      </c>
      <c r="V2" s="15" t="s">
        <v>9</v>
      </c>
      <c r="W2" s="6">
        <v>1</v>
      </c>
      <c r="X2" s="7"/>
      <c r="Y2" s="7"/>
      <c r="Z2" s="7"/>
      <c r="AA2" s="7"/>
      <c r="AB2" s="8"/>
      <c r="AC2" s="15" t="s">
        <v>8</v>
      </c>
      <c r="AD2" s="6">
        <v>1</v>
      </c>
      <c r="AE2" s="7"/>
      <c r="AF2" s="7"/>
      <c r="AG2" s="7"/>
      <c r="AH2" s="7"/>
      <c r="AI2" s="8"/>
    </row>
    <row r="3" spans="2:35" x14ac:dyDescent="0.2">
      <c r="B3" s="16"/>
      <c r="C3" s="16"/>
      <c r="D3" s="16"/>
      <c r="E3" s="16"/>
      <c r="F3" s="9">
        <v>2</v>
      </c>
      <c r="G3" s="4">
        <v>29.750860214233398</v>
      </c>
      <c r="H3" s="4">
        <v>0.121824450790882</v>
      </c>
      <c r="I3" s="4">
        <v>1573.48693847656</v>
      </c>
      <c r="J3" s="4">
        <v>39.667202302110503</v>
      </c>
      <c r="K3" s="4">
        <v>0.981714487075805</v>
      </c>
      <c r="L3" s="18"/>
      <c r="M3" s="9">
        <v>2</v>
      </c>
      <c r="N3" s="4">
        <v>33.901741027832003</v>
      </c>
      <c r="O3" s="4">
        <v>0.16897886991500799</v>
      </c>
      <c r="P3" s="4">
        <v>1955.00598144531</v>
      </c>
      <c r="Q3" s="4">
        <v>44.215449578685799</v>
      </c>
      <c r="R3" s="4">
        <v>0.97637879848480202</v>
      </c>
      <c r="U3" s="16"/>
      <c r="V3" s="16"/>
      <c r="W3" s="9">
        <v>2</v>
      </c>
      <c r="X3" s="10"/>
      <c r="Y3" s="10"/>
      <c r="Z3" s="10"/>
      <c r="AA3" s="10"/>
      <c r="AB3" s="11"/>
      <c r="AC3" s="16"/>
      <c r="AD3" s="9">
        <v>2</v>
      </c>
      <c r="AE3" s="10"/>
      <c r="AF3" s="10"/>
      <c r="AG3" s="10"/>
      <c r="AH3" s="10"/>
      <c r="AI3" s="11"/>
    </row>
    <row r="4" spans="2:35" x14ac:dyDescent="0.2">
      <c r="B4" s="16"/>
      <c r="C4" s="16"/>
      <c r="D4" s="16"/>
      <c r="E4" s="16"/>
      <c r="F4" s="9">
        <v>3</v>
      </c>
      <c r="G4" s="4">
        <v>25.463781356811499</v>
      </c>
      <c r="H4" s="4">
        <v>0.15577402710914601</v>
      </c>
      <c r="I4" s="4">
        <v>1225.76599121093</v>
      </c>
      <c r="J4" s="4">
        <v>35.010941021499796</v>
      </c>
      <c r="K4" s="4">
        <v>0.98575538396835305</v>
      </c>
      <c r="L4" s="18"/>
      <c r="M4" s="9">
        <v>3</v>
      </c>
      <c r="N4" s="4">
        <v>32.211719512939403</v>
      </c>
      <c r="O4" s="4">
        <v>0.149636626243591</v>
      </c>
      <c r="P4" s="4">
        <v>1899.91931152343</v>
      </c>
      <c r="Q4" s="4">
        <v>43.588063865276602</v>
      </c>
      <c r="R4" s="4">
        <v>0.97704440355300903</v>
      </c>
      <c r="U4" s="16"/>
      <c r="V4" s="16"/>
      <c r="W4" s="9">
        <v>3</v>
      </c>
      <c r="X4" s="10"/>
      <c r="Y4" s="10"/>
      <c r="Z4" s="10"/>
      <c r="AA4" s="10"/>
      <c r="AB4" s="11"/>
      <c r="AC4" s="16"/>
      <c r="AD4" s="9">
        <v>3</v>
      </c>
      <c r="AE4" s="10"/>
      <c r="AF4" s="10"/>
      <c r="AG4" s="10"/>
      <c r="AH4" s="10"/>
      <c r="AI4" s="11"/>
    </row>
    <row r="5" spans="2:35" x14ac:dyDescent="0.2">
      <c r="B5" s="16"/>
      <c r="C5" s="16"/>
      <c r="D5" s="16"/>
      <c r="E5" s="16"/>
      <c r="F5" s="9"/>
      <c r="G5" s="19"/>
      <c r="H5" s="19"/>
      <c r="I5" s="10"/>
      <c r="J5" s="10"/>
      <c r="K5" s="11"/>
      <c r="L5" s="18"/>
      <c r="M5" s="9"/>
      <c r="N5" s="19"/>
      <c r="O5" s="19"/>
      <c r="P5" s="10"/>
      <c r="Q5" s="10"/>
      <c r="R5" s="11"/>
      <c r="U5" s="16"/>
      <c r="V5" s="16"/>
      <c r="W5" s="9"/>
      <c r="X5" s="19"/>
      <c r="Y5" s="19"/>
      <c r="Z5" s="10"/>
      <c r="AA5" s="10"/>
      <c r="AB5" s="11"/>
      <c r="AC5" s="16"/>
      <c r="AD5" s="9"/>
      <c r="AE5" s="19"/>
      <c r="AF5" s="19"/>
      <c r="AG5" s="10"/>
      <c r="AH5" s="10"/>
      <c r="AI5" s="11"/>
    </row>
    <row r="6" spans="2:35" x14ac:dyDescent="0.2">
      <c r="B6" s="16"/>
      <c r="C6" s="16"/>
      <c r="D6" s="16"/>
      <c r="E6" s="16"/>
      <c r="F6" s="9"/>
      <c r="G6" s="19"/>
      <c r="H6" s="19"/>
      <c r="I6" s="10"/>
      <c r="J6" s="10"/>
      <c r="K6" s="11"/>
      <c r="L6" s="18"/>
      <c r="M6" s="9"/>
      <c r="N6" s="19"/>
      <c r="O6" s="19"/>
      <c r="P6" s="10"/>
      <c r="Q6" s="10"/>
      <c r="R6" s="11"/>
      <c r="U6" s="16"/>
      <c r="V6" s="16"/>
      <c r="W6" s="9"/>
      <c r="X6" s="19"/>
      <c r="Y6" s="19"/>
      <c r="Z6" s="10"/>
      <c r="AA6" s="10"/>
      <c r="AB6" s="11"/>
      <c r="AC6" s="16"/>
      <c r="AD6" s="9"/>
      <c r="AE6" s="19"/>
      <c r="AF6" s="19"/>
      <c r="AG6" s="10"/>
      <c r="AH6" s="10"/>
      <c r="AI6" s="11"/>
    </row>
    <row r="7" spans="2:35" x14ac:dyDescent="0.2">
      <c r="B7" s="16"/>
      <c r="C7" s="16"/>
      <c r="D7" s="16"/>
      <c r="E7" s="16"/>
      <c r="F7" s="9" t="s">
        <v>12</v>
      </c>
      <c r="G7" s="10">
        <f>(G2+G3+G4)/3</f>
        <v>28.9000860850016</v>
      </c>
      <c r="H7" s="10">
        <f t="shared" ref="H7:K7" si="0">(H2+H3+H4)/3</f>
        <v>0.1236510972181955</v>
      </c>
      <c r="I7" s="10">
        <f t="shared" si="0"/>
        <v>1501.3417154947867</v>
      </c>
      <c r="J7" s="10">
        <f t="shared" si="0"/>
        <v>38.655676883920933</v>
      </c>
      <c r="K7" s="10">
        <f t="shared" si="0"/>
        <v>0.9825529058774306</v>
      </c>
      <c r="L7" s="18"/>
      <c r="M7" s="9" t="s">
        <v>12</v>
      </c>
      <c r="N7" s="10">
        <f>(N2+N3+N4)/3</f>
        <v>32.742500305175732</v>
      </c>
      <c r="O7" s="10">
        <f t="shared" ref="O7:R7" si="1">(O2+O3+O4)/3</f>
        <v>0.18654549618562033</v>
      </c>
      <c r="P7" s="10">
        <f t="shared" si="1"/>
        <v>1911.6692708333301</v>
      </c>
      <c r="Q7" s="10">
        <f t="shared" si="1"/>
        <v>43.721143932137899</v>
      </c>
      <c r="R7" s="10">
        <f t="shared" si="1"/>
        <v>0.97690242528915372</v>
      </c>
      <c r="U7" s="16"/>
      <c r="V7" s="16"/>
      <c r="W7" s="9" t="s">
        <v>12</v>
      </c>
      <c r="X7" s="10">
        <f>(X2+X3+X4)/3</f>
        <v>0</v>
      </c>
      <c r="Y7" s="10">
        <f t="shared" ref="Y7:AB7" si="2">(Y2+Y3+Y4)/3</f>
        <v>0</v>
      </c>
      <c r="Z7" s="10">
        <f t="shared" si="2"/>
        <v>0</v>
      </c>
      <c r="AA7" s="10">
        <f t="shared" si="2"/>
        <v>0</v>
      </c>
      <c r="AB7" s="10">
        <f t="shared" si="2"/>
        <v>0</v>
      </c>
      <c r="AC7" s="16"/>
      <c r="AD7" s="9" t="s">
        <v>12</v>
      </c>
      <c r="AE7" s="10">
        <f>(AE2+AE3+AE4)/3</f>
        <v>0</v>
      </c>
      <c r="AF7" s="10">
        <f t="shared" ref="AF7:AI7" si="3">(AF2+AF3+AF4)/3</f>
        <v>0</v>
      </c>
      <c r="AG7" s="10">
        <f t="shared" si="3"/>
        <v>0</v>
      </c>
      <c r="AH7" s="10">
        <f t="shared" si="3"/>
        <v>0</v>
      </c>
      <c r="AI7" s="10">
        <f t="shared" si="3"/>
        <v>0</v>
      </c>
    </row>
    <row r="8" spans="2:35" x14ac:dyDescent="0.2">
      <c r="B8" s="16"/>
      <c r="C8" s="16"/>
      <c r="D8" s="16"/>
      <c r="E8" s="16"/>
      <c r="F8" s="12" t="s">
        <v>13</v>
      </c>
      <c r="G8" s="13">
        <f>STDEV(G2:G6)</f>
        <v>3.0997560615394755</v>
      </c>
      <c r="H8" s="13">
        <f t="shared" ref="H8:K8" si="4">STDEV(H2:H6)</f>
        <v>3.1249672427550158E-2</v>
      </c>
      <c r="I8" s="13">
        <f t="shared" si="4"/>
        <v>247.51856685274799</v>
      </c>
      <c r="J8" s="13">
        <f t="shared" si="4"/>
        <v>3.258917030400784</v>
      </c>
      <c r="K8" s="13">
        <f t="shared" si="4"/>
        <v>2.8764203737516535E-3</v>
      </c>
      <c r="L8" s="20"/>
      <c r="M8" s="12" t="s">
        <v>13</v>
      </c>
      <c r="N8" s="13">
        <f>STDEV(N2:N6)</f>
        <v>1.0051191935823036</v>
      </c>
      <c r="O8" s="13">
        <f t="shared" ref="O8:R8" si="5">STDEV(O2:O6)</f>
        <v>4.8158232559670215E-2</v>
      </c>
      <c r="P8" s="13">
        <f t="shared" si="5"/>
        <v>38.819163362122183</v>
      </c>
      <c r="Q8" s="13">
        <f t="shared" si="5"/>
        <v>0.44301935388020164</v>
      </c>
      <c r="R8" s="13">
        <f t="shared" si="5"/>
        <v>4.6904075841331305E-4</v>
      </c>
      <c r="U8" s="16"/>
      <c r="V8" s="16"/>
      <c r="W8" s="12" t="s">
        <v>13</v>
      </c>
      <c r="X8" s="13" t="e">
        <f>STDEV(X2:X6)</f>
        <v>#DIV/0!</v>
      </c>
      <c r="Y8" s="13" t="e">
        <f t="shared" ref="Y8:AB8" si="6">STDEV(Y2:Y6)</f>
        <v>#DIV/0!</v>
      </c>
      <c r="Z8" s="13" t="e">
        <f t="shared" si="6"/>
        <v>#DIV/0!</v>
      </c>
      <c r="AA8" s="13" t="e">
        <f t="shared" si="6"/>
        <v>#DIV/0!</v>
      </c>
      <c r="AB8" s="13" t="e">
        <f t="shared" si="6"/>
        <v>#DIV/0!</v>
      </c>
      <c r="AC8" s="16"/>
      <c r="AD8" s="12" t="s">
        <v>13</v>
      </c>
      <c r="AE8" s="13" t="e">
        <f>STDEV(AE2:AE6)</f>
        <v>#DIV/0!</v>
      </c>
      <c r="AF8" s="13" t="e">
        <f t="shared" ref="AF8:AI8" si="7">STDEV(AF2:AF6)</f>
        <v>#DIV/0!</v>
      </c>
      <c r="AG8" s="13" t="e">
        <f t="shared" si="7"/>
        <v>#DIV/0!</v>
      </c>
      <c r="AH8" s="13" t="e">
        <f t="shared" si="7"/>
        <v>#DIV/0!</v>
      </c>
      <c r="AI8" s="13" t="e">
        <f t="shared" si="7"/>
        <v>#DIV/0!</v>
      </c>
    </row>
    <row r="9" spans="2:35" x14ac:dyDescent="0.2">
      <c r="B9" s="16"/>
      <c r="C9" s="16"/>
      <c r="D9" s="15" t="s">
        <v>16</v>
      </c>
      <c r="E9" s="15" t="s">
        <v>9</v>
      </c>
      <c r="F9" s="6">
        <v>1</v>
      </c>
      <c r="G9" s="7"/>
      <c r="H9" s="7"/>
      <c r="I9" s="7"/>
      <c r="J9" s="7"/>
      <c r="K9" s="8"/>
      <c r="L9" s="17" t="s">
        <v>14</v>
      </c>
      <c r="M9" s="6">
        <v>1</v>
      </c>
      <c r="N9" s="7"/>
      <c r="O9" s="7"/>
      <c r="P9" s="7"/>
      <c r="Q9" s="7"/>
      <c r="R9" s="8"/>
      <c r="U9" s="15">
        <v>12</v>
      </c>
      <c r="V9" s="15" t="s">
        <v>9</v>
      </c>
      <c r="W9" s="6">
        <v>1</v>
      </c>
      <c r="X9" s="7"/>
      <c r="Y9" s="7"/>
      <c r="Z9" s="7"/>
      <c r="AA9" s="7"/>
      <c r="AB9" s="8"/>
      <c r="AC9" s="15" t="s">
        <v>8</v>
      </c>
      <c r="AD9" s="6">
        <v>1</v>
      </c>
      <c r="AE9" s="7"/>
      <c r="AF9" s="7"/>
      <c r="AG9" s="7"/>
      <c r="AH9" s="7"/>
      <c r="AI9" s="8"/>
    </row>
    <row r="10" spans="2:35" x14ac:dyDescent="0.2">
      <c r="B10" s="16"/>
      <c r="C10" s="16"/>
      <c r="D10" s="16"/>
      <c r="E10" s="16"/>
      <c r="F10" s="9">
        <v>2</v>
      </c>
      <c r="G10" s="10"/>
      <c r="H10" s="10"/>
      <c r="I10" s="10"/>
      <c r="J10" s="10"/>
      <c r="K10" s="11"/>
      <c r="L10" s="18"/>
      <c r="M10" s="9">
        <v>2</v>
      </c>
      <c r="N10" s="10"/>
      <c r="O10" s="10"/>
      <c r="P10" s="10"/>
      <c r="Q10" s="10"/>
      <c r="R10" s="11"/>
      <c r="U10" s="16"/>
      <c r="V10" s="16"/>
      <c r="W10" s="9">
        <v>2</v>
      </c>
      <c r="X10" s="10"/>
      <c r="Y10" s="10"/>
      <c r="Z10" s="10"/>
      <c r="AA10" s="10"/>
      <c r="AB10" s="11"/>
      <c r="AC10" s="16"/>
      <c r="AD10" s="9">
        <v>2</v>
      </c>
      <c r="AE10" s="10"/>
      <c r="AF10" s="10"/>
      <c r="AG10" s="10"/>
      <c r="AH10" s="10"/>
      <c r="AI10" s="11"/>
    </row>
    <row r="11" spans="2:35" x14ac:dyDescent="0.2">
      <c r="B11" s="16"/>
      <c r="C11" s="16"/>
      <c r="D11" s="16"/>
      <c r="E11" s="16"/>
      <c r="F11" s="9">
        <v>3</v>
      </c>
      <c r="G11" s="10"/>
      <c r="H11" s="10"/>
      <c r="I11" s="10"/>
      <c r="J11" s="10"/>
      <c r="K11" s="11"/>
      <c r="L11" s="18"/>
      <c r="M11" s="9">
        <v>3</v>
      </c>
      <c r="N11" s="10"/>
      <c r="O11" s="10"/>
      <c r="P11" s="10"/>
      <c r="Q11" s="10"/>
      <c r="R11" s="11"/>
      <c r="U11" s="16"/>
      <c r="V11" s="16"/>
      <c r="W11" s="9">
        <v>3</v>
      </c>
      <c r="X11" s="10"/>
      <c r="Y11" s="10"/>
      <c r="Z11" s="10"/>
      <c r="AA11" s="10"/>
      <c r="AB11" s="11"/>
      <c r="AC11" s="16"/>
      <c r="AD11" s="9">
        <v>3</v>
      </c>
      <c r="AE11" s="10"/>
      <c r="AF11" s="10"/>
      <c r="AG11" s="10"/>
      <c r="AH11" s="10"/>
      <c r="AI11" s="11"/>
    </row>
    <row r="12" spans="2:35" x14ac:dyDescent="0.2">
      <c r="B12" s="16"/>
      <c r="C12" s="16"/>
      <c r="D12" s="16"/>
      <c r="E12" s="16"/>
      <c r="F12" s="9"/>
      <c r="G12" s="19"/>
      <c r="H12" s="19"/>
      <c r="I12" s="10"/>
      <c r="J12" s="10"/>
      <c r="K12" s="11"/>
      <c r="L12" s="18"/>
      <c r="M12" s="9"/>
      <c r="N12" s="19"/>
      <c r="O12" s="19"/>
      <c r="P12" s="10"/>
      <c r="Q12" s="10"/>
      <c r="R12" s="11"/>
      <c r="U12" s="16"/>
      <c r="V12" s="16"/>
      <c r="W12" s="9"/>
      <c r="X12" s="19"/>
      <c r="Y12" s="19"/>
      <c r="Z12" s="10"/>
      <c r="AA12" s="10"/>
      <c r="AB12" s="11"/>
      <c r="AC12" s="16"/>
      <c r="AD12" s="9"/>
      <c r="AE12" s="19"/>
      <c r="AF12" s="19"/>
      <c r="AG12" s="10"/>
      <c r="AH12" s="10"/>
      <c r="AI12" s="11"/>
    </row>
    <row r="13" spans="2:35" x14ac:dyDescent="0.2">
      <c r="B13" s="16"/>
      <c r="C13" s="16"/>
      <c r="D13" s="16"/>
      <c r="E13" s="16"/>
      <c r="F13" s="9"/>
      <c r="G13" s="19"/>
      <c r="H13" s="19"/>
      <c r="I13" s="10"/>
      <c r="J13" s="10"/>
      <c r="K13" s="11"/>
      <c r="L13" s="18"/>
      <c r="M13" s="9"/>
      <c r="N13" s="19"/>
      <c r="O13" s="19"/>
      <c r="P13" s="10"/>
      <c r="Q13" s="10"/>
      <c r="R13" s="11"/>
      <c r="U13" s="16"/>
      <c r="V13" s="16"/>
      <c r="W13" s="9"/>
      <c r="X13" s="19"/>
      <c r="Y13" s="19"/>
      <c r="Z13" s="10"/>
      <c r="AA13" s="10"/>
      <c r="AB13" s="11"/>
      <c r="AC13" s="16"/>
      <c r="AD13" s="9"/>
      <c r="AE13" s="19"/>
      <c r="AF13" s="19"/>
      <c r="AG13" s="10"/>
      <c r="AH13" s="10"/>
      <c r="AI13" s="11"/>
    </row>
    <row r="14" spans="2:35" x14ac:dyDescent="0.2">
      <c r="B14" s="16"/>
      <c r="C14" s="16"/>
      <c r="D14" s="16"/>
      <c r="E14" s="16"/>
      <c r="F14" s="9" t="s">
        <v>12</v>
      </c>
      <c r="G14" s="10">
        <f>(G9+G10+G11)/3</f>
        <v>0</v>
      </c>
      <c r="H14" s="10">
        <f t="shared" ref="H14:K14" si="8">(H9+H10+H11)/3</f>
        <v>0</v>
      </c>
      <c r="I14" s="10">
        <f t="shared" si="8"/>
        <v>0</v>
      </c>
      <c r="J14" s="10">
        <f t="shared" si="8"/>
        <v>0</v>
      </c>
      <c r="K14" s="10">
        <f t="shared" si="8"/>
        <v>0</v>
      </c>
      <c r="L14" s="18"/>
      <c r="M14" s="9" t="s">
        <v>12</v>
      </c>
      <c r="N14" s="10">
        <f>(N9+N10+N11)/3</f>
        <v>0</v>
      </c>
      <c r="O14" s="10">
        <f t="shared" ref="O14:R14" si="9">(O9+O10+O11)/3</f>
        <v>0</v>
      </c>
      <c r="P14" s="10">
        <f t="shared" si="9"/>
        <v>0</v>
      </c>
      <c r="Q14" s="10">
        <f t="shared" si="9"/>
        <v>0</v>
      </c>
      <c r="R14" s="10">
        <f t="shared" si="9"/>
        <v>0</v>
      </c>
      <c r="U14" s="16"/>
      <c r="V14" s="16"/>
      <c r="W14" s="9" t="s">
        <v>12</v>
      </c>
      <c r="X14" s="10">
        <f>(X9+X10+X11)/3</f>
        <v>0</v>
      </c>
      <c r="Y14" s="10">
        <f t="shared" ref="Y14:AB14" si="10">(Y9+Y10+Y11)/3</f>
        <v>0</v>
      </c>
      <c r="Z14" s="10">
        <f t="shared" si="10"/>
        <v>0</v>
      </c>
      <c r="AA14" s="10">
        <f t="shared" si="10"/>
        <v>0</v>
      </c>
      <c r="AB14" s="10">
        <f t="shared" si="10"/>
        <v>0</v>
      </c>
      <c r="AC14" s="16"/>
      <c r="AD14" s="9" t="s">
        <v>12</v>
      </c>
      <c r="AE14" s="10">
        <f>(AE9+AE10+AE11)/3</f>
        <v>0</v>
      </c>
      <c r="AF14" s="10">
        <f t="shared" ref="AF14:AI14" si="11">(AF9+AF10+AF11)/3</f>
        <v>0</v>
      </c>
      <c r="AG14" s="10">
        <f t="shared" si="11"/>
        <v>0</v>
      </c>
      <c r="AH14" s="10">
        <f t="shared" si="11"/>
        <v>0</v>
      </c>
      <c r="AI14" s="10">
        <f t="shared" si="11"/>
        <v>0</v>
      </c>
    </row>
    <row r="15" spans="2:35" x14ac:dyDescent="0.2">
      <c r="B15" s="16"/>
      <c r="C15" s="16"/>
      <c r="D15" s="16"/>
      <c r="E15" s="16"/>
      <c r="F15" s="12" t="s">
        <v>13</v>
      </c>
      <c r="G15" s="13" t="e">
        <f>STDEV(G9:G13)</f>
        <v>#DIV/0!</v>
      </c>
      <c r="H15" s="13" t="e">
        <f t="shared" ref="H15:K15" si="12">STDEV(H9:H13)</f>
        <v>#DIV/0!</v>
      </c>
      <c r="I15" s="13" t="e">
        <f t="shared" si="12"/>
        <v>#DIV/0!</v>
      </c>
      <c r="J15" s="13" t="e">
        <f t="shared" si="12"/>
        <v>#DIV/0!</v>
      </c>
      <c r="K15" s="13" t="e">
        <f t="shared" si="12"/>
        <v>#DIV/0!</v>
      </c>
      <c r="L15" s="20"/>
      <c r="M15" s="12" t="s">
        <v>13</v>
      </c>
      <c r="N15" s="13" t="e">
        <f>STDEV(N9:N13)</f>
        <v>#DIV/0!</v>
      </c>
      <c r="O15" s="13" t="e">
        <f t="shared" ref="O15:R15" si="13">STDEV(O9:O13)</f>
        <v>#DIV/0!</v>
      </c>
      <c r="P15" s="13" t="e">
        <f t="shared" si="13"/>
        <v>#DIV/0!</v>
      </c>
      <c r="Q15" s="13" t="e">
        <f t="shared" si="13"/>
        <v>#DIV/0!</v>
      </c>
      <c r="R15" s="13" t="e">
        <f t="shared" si="13"/>
        <v>#DIV/0!</v>
      </c>
      <c r="U15" s="16"/>
      <c r="V15" s="16"/>
      <c r="W15" s="12" t="s">
        <v>13</v>
      </c>
      <c r="X15" s="13" t="e">
        <f>STDEV(X9:X13)</f>
        <v>#DIV/0!</v>
      </c>
      <c r="Y15" s="13" t="e">
        <f t="shared" ref="Y15:AB15" si="14">STDEV(Y9:Y13)</f>
        <v>#DIV/0!</v>
      </c>
      <c r="Z15" s="13" t="e">
        <f t="shared" si="14"/>
        <v>#DIV/0!</v>
      </c>
      <c r="AA15" s="13" t="e">
        <f t="shared" si="14"/>
        <v>#DIV/0!</v>
      </c>
      <c r="AB15" s="13" t="e">
        <f t="shared" si="14"/>
        <v>#DIV/0!</v>
      </c>
      <c r="AC15" s="16"/>
      <c r="AD15" s="12" t="s">
        <v>13</v>
      </c>
      <c r="AE15" s="13" t="e">
        <f>STDEV(AE9:AE13)</f>
        <v>#DIV/0!</v>
      </c>
      <c r="AF15" s="13" t="e">
        <f t="shared" ref="AF15:AI15" si="15">STDEV(AF9:AF13)</f>
        <v>#DIV/0!</v>
      </c>
      <c r="AG15" s="13" t="e">
        <f t="shared" si="15"/>
        <v>#DIV/0!</v>
      </c>
      <c r="AH15" s="13" t="e">
        <f t="shared" si="15"/>
        <v>#DIV/0!</v>
      </c>
      <c r="AI15" s="13" t="e">
        <f t="shared" si="15"/>
        <v>#DIV/0!</v>
      </c>
    </row>
    <row r="16" spans="2:35" x14ac:dyDescent="0.2">
      <c r="B16" s="16"/>
      <c r="C16" s="16"/>
      <c r="D16" s="15" t="s">
        <v>17</v>
      </c>
      <c r="E16" s="15" t="s">
        <v>9</v>
      </c>
      <c r="F16" s="6">
        <v>1</v>
      </c>
      <c r="G16" s="7"/>
      <c r="H16" s="7"/>
      <c r="I16" s="7"/>
      <c r="J16" s="7"/>
      <c r="K16" s="8"/>
      <c r="L16" s="17" t="s">
        <v>14</v>
      </c>
      <c r="M16" s="6">
        <v>1</v>
      </c>
      <c r="N16" s="7"/>
      <c r="O16" s="7"/>
      <c r="P16" s="7"/>
      <c r="Q16" s="7"/>
      <c r="R16" s="8"/>
      <c r="U16" s="15">
        <v>14</v>
      </c>
      <c r="V16" s="15" t="s">
        <v>9</v>
      </c>
      <c r="W16" s="6">
        <v>1</v>
      </c>
      <c r="X16" s="7"/>
      <c r="Y16" s="7"/>
      <c r="Z16" s="7"/>
      <c r="AA16" s="7"/>
      <c r="AB16" s="8"/>
      <c r="AC16" s="15" t="s">
        <v>8</v>
      </c>
      <c r="AD16" s="6">
        <v>1</v>
      </c>
      <c r="AE16" s="7"/>
      <c r="AF16" s="7"/>
      <c r="AG16" s="7"/>
      <c r="AH16" s="7"/>
      <c r="AI16" s="8"/>
    </row>
    <row r="17" spans="2:35" x14ac:dyDescent="0.2">
      <c r="B17" s="16"/>
      <c r="C17" s="16"/>
      <c r="D17" s="16"/>
      <c r="E17" s="16"/>
      <c r="F17" s="9">
        <v>2</v>
      </c>
      <c r="G17" s="10"/>
      <c r="H17" s="10"/>
      <c r="I17" s="10"/>
      <c r="J17" s="10"/>
      <c r="K17" s="11"/>
      <c r="L17" s="18"/>
      <c r="M17" s="9">
        <v>2</v>
      </c>
      <c r="N17" s="10"/>
      <c r="O17" s="10"/>
      <c r="P17" s="10"/>
      <c r="Q17" s="10"/>
      <c r="R17" s="11"/>
      <c r="U17" s="16"/>
      <c r="V17" s="16"/>
      <c r="W17" s="9">
        <v>2</v>
      </c>
      <c r="X17" s="10"/>
      <c r="Y17" s="10"/>
      <c r="Z17" s="10"/>
      <c r="AA17" s="10"/>
      <c r="AB17" s="11"/>
      <c r="AC17" s="16"/>
      <c r="AD17" s="9">
        <v>2</v>
      </c>
      <c r="AE17" s="10"/>
      <c r="AF17" s="10"/>
      <c r="AG17" s="10"/>
      <c r="AH17" s="10"/>
      <c r="AI17" s="11"/>
    </row>
    <row r="18" spans="2:35" x14ac:dyDescent="0.2">
      <c r="B18" s="16"/>
      <c r="C18" s="16"/>
      <c r="D18" s="16"/>
      <c r="E18" s="16"/>
      <c r="F18" s="9">
        <v>3</v>
      </c>
      <c r="G18" s="10"/>
      <c r="H18" s="10"/>
      <c r="I18" s="10"/>
      <c r="J18" s="10"/>
      <c r="K18" s="11"/>
      <c r="L18" s="18"/>
      <c r="M18" s="9">
        <v>3</v>
      </c>
      <c r="N18" s="10"/>
      <c r="O18" s="10"/>
      <c r="P18" s="10"/>
      <c r="Q18" s="10"/>
      <c r="R18" s="11"/>
      <c r="U18" s="16"/>
      <c r="V18" s="16"/>
      <c r="W18" s="9">
        <v>3</v>
      </c>
      <c r="X18" s="10"/>
      <c r="Y18" s="10"/>
      <c r="Z18" s="10"/>
      <c r="AA18" s="10"/>
      <c r="AB18" s="11"/>
      <c r="AC18" s="16"/>
      <c r="AD18" s="9">
        <v>3</v>
      </c>
      <c r="AE18" s="10"/>
      <c r="AF18" s="10"/>
      <c r="AG18" s="10"/>
      <c r="AH18" s="10"/>
      <c r="AI18" s="11"/>
    </row>
    <row r="19" spans="2:35" x14ac:dyDescent="0.2">
      <c r="B19" s="16"/>
      <c r="C19" s="16"/>
      <c r="D19" s="16"/>
      <c r="E19" s="16"/>
      <c r="F19" s="9"/>
      <c r="G19" s="19"/>
      <c r="H19" s="19"/>
      <c r="I19" s="10"/>
      <c r="J19" s="10"/>
      <c r="K19" s="11"/>
      <c r="L19" s="18"/>
      <c r="M19" s="9"/>
      <c r="N19" s="19"/>
      <c r="O19" s="19"/>
      <c r="P19" s="10"/>
      <c r="Q19" s="10"/>
      <c r="R19" s="11"/>
      <c r="U19" s="16"/>
      <c r="V19" s="16"/>
      <c r="W19" s="9"/>
      <c r="X19" s="19"/>
      <c r="Y19" s="19"/>
      <c r="Z19" s="10"/>
      <c r="AA19" s="10"/>
      <c r="AB19" s="11"/>
      <c r="AC19" s="16"/>
      <c r="AD19" s="9"/>
      <c r="AE19" s="19"/>
      <c r="AF19" s="19"/>
      <c r="AG19" s="10"/>
      <c r="AH19" s="10"/>
      <c r="AI19" s="11"/>
    </row>
    <row r="20" spans="2:35" x14ac:dyDescent="0.2">
      <c r="B20" s="16"/>
      <c r="C20" s="16"/>
      <c r="D20" s="16"/>
      <c r="E20" s="16"/>
      <c r="F20" s="9"/>
      <c r="G20" s="19"/>
      <c r="H20" s="19"/>
      <c r="I20" s="10"/>
      <c r="J20" s="10"/>
      <c r="K20" s="11"/>
      <c r="L20" s="18"/>
      <c r="M20" s="9"/>
      <c r="N20" s="19"/>
      <c r="O20" s="19"/>
      <c r="P20" s="10"/>
      <c r="Q20" s="10"/>
      <c r="R20" s="11"/>
      <c r="U20" s="16"/>
      <c r="V20" s="16"/>
      <c r="W20" s="9"/>
      <c r="X20" s="19"/>
      <c r="Y20" s="19"/>
      <c r="Z20" s="10"/>
      <c r="AA20" s="10"/>
      <c r="AB20" s="11"/>
      <c r="AC20" s="16"/>
      <c r="AD20" s="9"/>
      <c r="AE20" s="19"/>
      <c r="AF20" s="19"/>
      <c r="AG20" s="10"/>
      <c r="AH20" s="10"/>
      <c r="AI20" s="11"/>
    </row>
    <row r="21" spans="2:35" x14ac:dyDescent="0.2">
      <c r="B21" s="16"/>
      <c r="C21" s="16"/>
      <c r="D21" s="16"/>
      <c r="E21" s="16"/>
      <c r="F21" s="9" t="s">
        <v>12</v>
      </c>
      <c r="G21" s="10">
        <f>(G16+G17+G18)/3</f>
        <v>0</v>
      </c>
      <c r="H21" s="10">
        <f t="shared" ref="H21:K21" si="16">(H16+H17+H18)/3</f>
        <v>0</v>
      </c>
      <c r="I21" s="10">
        <f t="shared" si="16"/>
        <v>0</v>
      </c>
      <c r="J21" s="10">
        <f t="shared" si="16"/>
        <v>0</v>
      </c>
      <c r="K21" s="10">
        <f t="shared" si="16"/>
        <v>0</v>
      </c>
      <c r="L21" s="18"/>
      <c r="M21" s="9" t="s">
        <v>12</v>
      </c>
      <c r="N21" s="10">
        <f>(N16+N17+N18)/3</f>
        <v>0</v>
      </c>
      <c r="O21" s="10">
        <f t="shared" ref="O21:R21" si="17">(O16+O17+O18)/3</f>
        <v>0</v>
      </c>
      <c r="P21" s="10">
        <f t="shared" si="17"/>
        <v>0</v>
      </c>
      <c r="Q21" s="10">
        <f t="shared" si="17"/>
        <v>0</v>
      </c>
      <c r="R21" s="10">
        <f t="shared" si="17"/>
        <v>0</v>
      </c>
      <c r="U21" s="16"/>
      <c r="V21" s="16"/>
      <c r="W21" s="9" t="s">
        <v>12</v>
      </c>
      <c r="X21" s="10">
        <f>(X16+X17+X18)/3</f>
        <v>0</v>
      </c>
      <c r="Y21" s="10">
        <f t="shared" ref="Y21:AB21" si="18">(Y16+Y17+Y18)/3</f>
        <v>0</v>
      </c>
      <c r="Z21" s="10">
        <f t="shared" si="18"/>
        <v>0</v>
      </c>
      <c r="AA21" s="10">
        <f t="shared" si="18"/>
        <v>0</v>
      </c>
      <c r="AB21" s="10">
        <f t="shared" si="18"/>
        <v>0</v>
      </c>
      <c r="AC21" s="16"/>
      <c r="AD21" s="9" t="s">
        <v>12</v>
      </c>
      <c r="AE21" s="10">
        <f>(AE16+AE17+AE18)/3</f>
        <v>0</v>
      </c>
      <c r="AF21" s="10">
        <f t="shared" ref="AF21:AI21" si="19">(AF16+AF17+AF18)/3</f>
        <v>0</v>
      </c>
      <c r="AG21" s="10">
        <f t="shared" si="19"/>
        <v>0</v>
      </c>
      <c r="AH21" s="10">
        <f t="shared" si="19"/>
        <v>0</v>
      </c>
      <c r="AI21" s="10">
        <f t="shared" si="19"/>
        <v>0</v>
      </c>
    </row>
    <row r="22" spans="2:35" x14ac:dyDescent="0.2">
      <c r="B22" s="16"/>
      <c r="C22" s="16"/>
      <c r="D22" s="16"/>
      <c r="E22" s="16"/>
      <c r="F22" s="12" t="s">
        <v>13</v>
      </c>
      <c r="G22" s="13" t="e">
        <f>STDEV(G16:G20)</f>
        <v>#DIV/0!</v>
      </c>
      <c r="H22" s="13" t="e">
        <f t="shared" ref="H22:K22" si="20">STDEV(H16:H20)</f>
        <v>#DIV/0!</v>
      </c>
      <c r="I22" s="13" t="e">
        <f t="shared" si="20"/>
        <v>#DIV/0!</v>
      </c>
      <c r="J22" s="13" t="e">
        <f t="shared" si="20"/>
        <v>#DIV/0!</v>
      </c>
      <c r="K22" s="13" t="e">
        <f t="shared" si="20"/>
        <v>#DIV/0!</v>
      </c>
      <c r="L22" s="20"/>
      <c r="M22" s="12" t="s">
        <v>13</v>
      </c>
      <c r="N22" s="13" t="e">
        <f>STDEV(N16:N20)</f>
        <v>#DIV/0!</v>
      </c>
      <c r="O22" s="13" t="e">
        <f t="shared" ref="O22:R22" si="21">STDEV(O16:O20)</f>
        <v>#DIV/0!</v>
      </c>
      <c r="P22" s="13" t="e">
        <f t="shared" si="21"/>
        <v>#DIV/0!</v>
      </c>
      <c r="Q22" s="13" t="e">
        <f t="shared" si="21"/>
        <v>#DIV/0!</v>
      </c>
      <c r="R22" s="13" t="e">
        <f t="shared" si="21"/>
        <v>#DIV/0!</v>
      </c>
      <c r="U22" s="16"/>
      <c r="V22" s="16"/>
      <c r="W22" s="12" t="s">
        <v>13</v>
      </c>
      <c r="X22" s="13" t="e">
        <f>STDEV(X16:X20)</f>
        <v>#DIV/0!</v>
      </c>
      <c r="Y22" s="13" t="e">
        <f t="shared" ref="Y22:AB22" si="22">STDEV(Y16:Y20)</f>
        <v>#DIV/0!</v>
      </c>
      <c r="Z22" s="13" t="e">
        <f t="shared" si="22"/>
        <v>#DIV/0!</v>
      </c>
      <c r="AA22" s="13" t="e">
        <f t="shared" si="22"/>
        <v>#DIV/0!</v>
      </c>
      <c r="AB22" s="13" t="e">
        <f t="shared" si="22"/>
        <v>#DIV/0!</v>
      </c>
      <c r="AC22" s="16"/>
      <c r="AD22" s="12" t="s">
        <v>13</v>
      </c>
      <c r="AE22" s="13" t="e">
        <f>STDEV(AE16:AE20)</f>
        <v>#DIV/0!</v>
      </c>
      <c r="AF22" s="13" t="e">
        <f t="shared" ref="AF22:AI22" si="23">STDEV(AF16:AF20)</f>
        <v>#DIV/0!</v>
      </c>
      <c r="AG22" s="13" t="e">
        <f t="shared" si="23"/>
        <v>#DIV/0!</v>
      </c>
      <c r="AH22" s="13" t="e">
        <f t="shared" si="23"/>
        <v>#DIV/0!</v>
      </c>
      <c r="AI22" s="13" t="e">
        <f t="shared" si="23"/>
        <v>#DIV/0!</v>
      </c>
    </row>
    <row r="23" spans="2:35" x14ac:dyDescent="0.2">
      <c r="B23" s="16"/>
      <c r="C23" s="16"/>
      <c r="D23" s="21" t="s">
        <v>18</v>
      </c>
      <c r="E23" s="15" t="s">
        <v>9</v>
      </c>
      <c r="F23" s="6">
        <v>1</v>
      </c>
      <c r="G23" s="7"/>
      <c r="H23" s="7"/>
      <c r="I23" s="7"/>
      <c r="J23" s="7"/>
      <c r="K23" s="8"/>
      <c r="L23" s="17" t="s">
        <v>14</v>
      </c>
      <c r="M23" s="6">
        <v>1</v>
      </c>
      <c r="N23" s="7"/>
      <c r="O23" s="7"/>
      <c r="P23" s="7"/>
      <c r="Q23" s="7"/>
      <c r="R23" s="8"/>
      <c r="U23" s="15">
        <v>16</v>
      </c>
      <c r="V23" s="15" t="s">
        <v>9</v>
      </c>
      <c r="W23" s="6">
        <v>1</v>
      </c>
      <c r="X23" s="7"/>
      <c r="Y23" s="7"/>
      <c r="Z23" s="7"/>
      <c r="AA23" s="7"/>
      <c r="AB23" s="8"/>
      <c r="AC23" s="15" t="s">
        <v>8</v>
      </c>
      <c r="AD23" s="6">
        <v>1</v>
      </c>
      <c r="AE23" s="7"/>
      <c r="AF23" s="7"/>
      <c r="AG23" s="7"/>
      <c r="AH23" s="7"/>
      <c r="AI23" s="8"/>
    </row>
    <row r="24" spans="2:35" x14ac:dyDescent="0.2">
      <c r="B24" s="16"/>
      <c r="C24" s="16"/>
      <c r="D24" s="16"/>
      <c r="E24" s="16"/>
      <c r="F24" s="9">
        <v>2</v>
      </c>
      <c r="G24" s="10"/>
      <c r="H24" s="10"/>
      <c r="I24" s="10"/>
      <c r="J24" s="10"/>
      <c r="K24" s="11"/>
      <c r="L24" s="18"/>
      <c r="M24" s="9">
        <v>2</v>
      </c>
      <c r="N24" s="10"/>
      <c r="O24" s="10"/>
      <c r="P24" s="10"/>
      <c r="Q24" s="10"/>
      <c r="R24" s="11"/>
      <c r="U24" s="16"/>
      <c r="V24" s="16"/>
      <c r="W24" s="9">
        <v>2</v>
      </c>
      <c r="X24" s="10"/>
      <c r="Y24" s="10"/>
      <c r="Z24" s="10"/>
      <c r="AA24" s="10"/>
      <c r="AB24" s="11"/>
      <c r="AC24" s="16"/>
      <c r="AD24" s="9">
        <v>2</v>
      </c>
      <c r="AE24" s="10"/>
      <c r="AF24" s="10"/>
      <c r="AG24" s="10"/>
      <c r="AH24" s="10"/>
      <c r="AI24" s="11"/>
    </row>
    <row r="25" spans="2:35" x14ac:dyDescent="0.2">
      <c r="B25" s="16"/>
      <c r="C25" s="16"/>
      <c r="D25" s="16"/>
      <c r="E25" s="16"/>
      <c r="F25" s="9">
        <v>3</v>
      </c>
      <c r="G25" s="10"/>
      <c r="H25" s="10"/>
      <c r="I25" s="10"/>
      <c r="J25" s="10"/>
      <c r="K25" s="11"/>
      <c r="L25" s="18"/>
      <c r="M25" s="9">
        <v>3</v>
      </c>
      <c r="N25" s="10"/>
      <c r="O25" s="10"/>
      <c r="P25" s="10"/>
      <c r="Q25" s="10"/>
      <c r="R25" s="11"/>
      <c r="U25" s="16"/>
      <c r="V25" s="16"/>
      <c r="W25" s="9">
        <v>3</v>
      </c>
      <c r="X25" s="10"/>
      <c r="Y25" s="10"/>
      <c r="Z25" s="10"/>
      <c r="AA25" s="10"/>
      <c r="AB25" s="11"/>
      <c r="AC25" s="16"/>
      <c r="AD25" s="9">
        <v>3</v>
      </c>
      <c r="AE25" s="10"/>
      <c r="AF25" s="10"/>
      <c r="AG25" s="10"/>
      <c r="AH25" s="10"/>
      <c r="AI25" s="11"/>
    </row>
    <row r="26" spans="2:35" x14ac:dyDescent="0.2">
      <c r="B26" s="16"/>
      <c r="C26" s="16"/>
      <c r="D26" s="16"/>
      <c r="E26" s="16"/>
      <c r="F26" s="9"/>
      <c r="G26" s="19"/>
      <c r="H26" s="19"/>
      <c r="I26" s="10"/>
      <c r="J26" s="10"/>
      <c r="K26" s="11"/>
      <c r="L26" s="18"/>
      <c r="M26" s="9"/>
      <c r="N26" s="19"/>
      <c r="O26" s="19"/>
      <c r="P26" s="10"/>
      <c r="Q26" s="10"/>
      <c r="R26" s="11"/>
      <c r="U26" s="16"/>
      <c r="V26" s="16"/>
      <c r="W26" s="9"/>
      <c r="X26" s="19"/>
      <c r="Y26" s="19"/>
      <c r="Z26" s="10"/>
      <c r="AA26" s="10"/>
      <c r="AB26" s="11"/>
      <c r="AC26" s="16"/>
      <c r="AD26" s="9"/>
      <c r="AE26" s="19"/>
      <c r="AF26" s="19"/>
      <c r="AG26" s="10"/>
      <c r="AH26" s="10"/>
      <c r="AI26" s="11"/>
    </row>
    <row r="27" spans="2:35" x14ac:dyDescent="0.2">
      <c r="B27" s="16"/>
      <c r="C27" s="16"/>
      <c r="D27" s="16"/>
      <c r="E27" s="16"/>
      <c r="F27" s="9"/>
      <c r="G27" s="19"/>
      <c r="H27" s="19"/>
      <c r="I27" s="10"/>
      <c r="J27" s="10"/>
      <c r="K27" s="11"/>
      <c r="L27" s="18"/>
      <c r="M27" s="9"/>
      <c r="N27" s="19"/>
      <c r="O27" s="19"/>
      <c r="P27" s="10"/>
      <c r="Q27" s="10"/>
      <c r="R27" s="11"/>
      <c r="U27" s="16"/>
      <c r="V27" s="16"/>
      <c r="W27" s="9"/>
      <c r="X27" s="19"/>
      <c r="Y27" s="19"/>
      <c r="Z27" s="10"/>
      <c r="AA27" s="10"/>
      <c r="AB27" s="11"/>
      <c r="AC27" s="16"/>
      <c r="AD27" s="9"/>
      <c r="AE27" s="19"/>
      <c r="AF27" s="19"/>
      <c r="AG27" s="10"/>
      <c r="AH27" s="10"/>
      <c r="AI27" s="11"/>
    </row>
    <row r="28" spans="2:35" x14ac:dyDescent="0.2">
      <c r="B28" s="16"/>
      <c r="C28" s="16"/>
      <c r="D28" s="16"/>
      <c r="E28" s="16"/>
      <c r="F28" s="9" t="s">
        <v>12</v>
      </c>
      <c r="G28" s="10">
        <f>(G23+G24+G25)/3</f>
        <v>0</v>
      </c>
      <c r="H28" s="10">
        <f t="shared" ref="H28:K28" si="24">(H23+H24+H25)/3</f>
        <v>0</v>
      </c>
      <c r="I28" s="10">
        <f t="shared" si="24"/>
        <v>0</v>
      </c>
      <c r="J28" s="10">
        <f t="shared" si="24"/>
        <v>0</v>
      </c>
      <c r="K28" s="10">
        <f t="shared" si="24"/>
        <v>0</v>
      </c>
      <c r="L28" s="18"/>
      <c r="M28" s="9" t="s">
        <v>12</v>
      </c>
      <c r="N28" s="10">
        <f>(N23+N24+N25)/3</f>
        <v>0</v>
      </c>
      <c r="O28" s="10">
        <f t="shared" ref="O28:R28" si="25">(O23+O24+O25)/3</f>
        <v>0</v>
      </c>
      <c r="P28" s="10">
        <f t="shared" si="25"/>
        <v>0</v>
      </c>
      <c r="Q28" s="10">
        <f t="shared" si="25"/>
        <v>0</v>
      </c>
      <c r="R28" s="10">
        <f t="shared" si="25"/>
        <v>0</v>
      </c>
      <c r="U28" s="16"/>
      <c r="V28" s="16"/>
      <c r="W28" s="9" t="s">
        <v>12</v>
      </c>
      <c r="X28" s="10">
        <f>(X23+X24+X25)/3</f>
        <v>0</v>
      </c>
      <c r="Y28" s="10">
        <f t="shared" ref="Y28:AB28" si="26">(Y23+Y24+Y25)/3</f>
        <v>0</v>
      </c>
      <c r="Z28" s="10">
        <f t="shared" si="26"/>
        <v>0</v>
      </c>
      <c r="AA28" s="10">
        <f t="shared" si="26"/>
        <v>0</v>
      </c>
      <c r="AB28" s="10">
        <f t="shared" si="26"/>
        <v>0</v>
      </c>
      <c r="AC28" s="16"/>
      <c r="AD28" s="9" t="s">
        <v>12</v>
      </c>
      <c r="AE28" s="10">
        <f>(AE23+AE24+AE25)/3</f>
        <v>0</v>
      </c>
      <c r="AF28" s="10">
        <f t="shared" ref="AF28:AI28" si="27">(AF23+AF24+AF25)/3</f>
        <v>0</v>
      </c>
      <c r="AG28" s="10">
        <f t="shared" si="27"/>
        <v>0</v>
      </c>
      <c r="AH28" s="10">
        <f t="shared" si="27"/>
        <v>0</v>
      </c>
      <c r="AI28" s="10">
        <f t="shared" si="27"/>
        <v>0</v>
      </c>
    </row>
    <row r="29" spans="2:35" x14ac:dyDescent="0.2">
      <c r="B29" s="16"/>
      <c r="C29" s="16"/>
      <c r="D29" s="16"/>
      <c r="E29" s="16"/>
      <c r="F29" s="12" t="s">
        <v>13</v>
      </c>
      <c r="G29" s="13" t="e">
        <f>STDEV(G23:G27)</f>
        <v>#DIV/0!</v>
      </c>
      <c r="H29" s="13" t="e">
        <f t="shared" ref="H29:K29" si="28">STDEV(H23:H27)</f>
        <v>#DIV/0!</v>
      </c>
      <c r="I29" s="13" t="e">
        <f t="shared" si="28"/>
        <v>#DIV/0!</v>
      </c>
      <c r="J29" s="13" t="e">
        <f t="shared" si="28"/>
        <v>#DIV/0!</v>
      </c>
      <c r="K29" s="13" t="e">
        <f t="shared" si="28"/>
        <v>#DIV/0!</v>
      </c>
      <c r="L29" s="20"/>
      <c r="M29" s="12" t="s">
        <v>13</v>
      </c>
      <c r="N29" s="13" t="e">
        <f>STDEV(N23:N27)</f>
        <v>#DIV/0!</v>
      </c>
      <c r="O29" s="13" t="e">
        <f t="shared" ref="O29:R29" si="29">STDEV(O23:O27)</f>
        <v>#DIV/0!</v>
      </c>
      <c r="P29" s="13" t="e">
        <f t="shared" si="29"/>
        <v>#DIV/0!</v>
      </c>
      <c r="Q29" s="13" t="e">
        <f t="shared" si="29"/>
        <v>#DIV/0!</v>
      </c>
      <c r="R29" s="13" t="e">
        <f t="shared" si="29"/>
        <v>#DIV/0!</v>
      </c>
      <c r="U29" s="16"/>
      <c r="V29" s="16"/>
      <c r="W29" s="12" t="s">
        <v>13</v>
      </c>
      <c r="X29" s="13" t="e">
        <f>STDEV(X23:X27)</f>
        <v>#DIV/0!</v>
      </c>
      <c r="Y29" s="13" t="e">
        <f t="shared" ref="Y29:AB29" si="30">STDEV(Y23:Y27)</f>
        <v>#DIV/0!</v>
      </c>
      <c r="Z29" s="13" t="e">
        <f t="shared" si="30"/>
        <v>#DIV/0!</v>
      </c>
      <c r="AA29" s="13" t="e">
        <f t="shared" si="30"/>
        <v>#DIV/0!</v>
      </c>
      <c r="AB29" s="13" t="e">
        <f t="shared" si="30"/>
        <v>#DIV/0!</v>
      </c>
      <c r="AC29" s="16"/>
      <c r="AD29" s="12" t="s">
        <v>13</v>
      </c>
      <c r="AE29" s="13" t="e">
        <f>STDEV(AE23:AE27)</f>
        <v>#DIV/0!</v>
      </c>
      <c r="AF29" s="13" t="e">
        <f t="shared" ref="AF29:AI29" si="31">STDEV(AF23:AF27)</f>
        <v>#DIV/0!</v>
      </c>
      <c r="AG29" s="13" t="e">
        <f t="shared" si="31"/>
        <v>#DIV/0!</v>
      </c>
      <c r="AH29" s="13" t="e">
        <f t="shared" si="31"/>
        <v>#DIV/0!</v>
      </c>
      <c r="AI29" s="13" t="e">
        <f t="shared" si="31"/>
        <v>#DIV/0!</v>
      </c>
    </row>
    <row r="30" spans="2:35" ht="15" thickBot="1" x14ac:dyDescent="0.25">
      <c r="B30" s="16"/>
      <c r="C30" s="16"/>
      <c r="D30" s="21" t="s">
        <v>19</v>
      </c>
      <c r="E30" s="15" t="s">
        <v>9</v>
      </c>
      <c r="F30" s="6">
        <v>1</v>
      </c>
      <c r="G30" s="7"/>
      <c r="H30" s="7"/>
      <c r="I30" s="7"/>
      <c r="J30" s="7"/>
      <c r="K30" s="8"/>
      <c r="L30" s="17" t="s">
        <v>14</v>
      </c>
      <c r="M30" s="6">
        <v>1</v>
      </c>
      <c r="N30" s="7"/>
      <c r="O30" s="7"/>
      <c r="P30" s="7"/>
      <c r="Q30" s="7"/>
      <c r="R30" s="8"/>
    </row>
    <row r="31" spans="2:35" ht="15" x14ac:dyDescent="0.2">
      <c r="B31" s="16"/>
      <c r="C31" s="16"/>
      <c r="D31" s="16"/>
      <c r="E31" s="16"/>
      <c r="F31" s="9">
        <v>2</v>
      </c>
      <c r="G31" s="10"/>
      <c r="H31" s="10"/>
      <c r="I31" s="10"/>
      <c r="J31" s="10"/>
      <c r="K31" s="11"/>
      <c r="L31" s="18"/>
      <c r="M31" s="9">
        <v>2</v>
      </c>
      <c r="N31" s="10"/>
      <c r="O31" s="10"/>
      <c r="P31" s="10"/>
      <c r="Q31" s="10"/>
      <c r="R31" s="11"/>
      <c r="U31" s="2" t="s">
        <v>4</v>
      </c>
      <c r="V31" s="2" t="s">
        <v>5</v>
      </c>
      <c r="W31" s="2" t="s">
        <v>11</v>
      </c>
      <c r="X31" s="3" t="s">
        <v>0</v>
      </c>
      <c r="Y31" s="3" t="s">
        <v>31</v>
      </c>
      <c r="Z31" s="3" t="s">
        <v>1</v>
      </c>
      <c r="AA31" s="3" t="s">
        <v>2</v>
      </c>
      <c r="AB31" s="3" t="s">
        <v>3</v>
      </c>
      <c r="AC31" s="2" t="s">
        <v>5</v>
      </c>
      <c r="AD31" s="2" t="s">
        <v>11</v>
      </c>
      <c r="AE31" s="3" t="s">
        <v>0</v>
      </c>
      <c r="AF31" s="3" t="s">
        <v>31</v>
      </c>
      <c r="AG31" s="3" t="s">
        <v>1</v>
      </c>
      <c r="AH31" s="3" t="s">
        <v>2</v>
      </c>
      <c r="AI31" s="3" t="s">
        <v>3</v>
      </c>
    </row>
    <row r="32" spans="2:35" x14ac:dyDescent="0.2">
      <c r="B32" s="16"/>
      <c r="C32" s="16"/>
      <c r="D32" s="16"/>
      <c r="E32" s="16"/>
      <c r="F32" s="9">
        <v>3</v>
      </c>
      <c r="G32" s="10"/>
      <c r="H32" s="10"/>
      <c r="I32" s="10"/>
      <c r="J32" s="10"/>
      <c r="K32" s="11"/>
      <c r="L32" s="18"/>
      <c r="M32" s="9">
        <v>3</v>
      </c>
      <c r="N32" s="10"/>
      <c r="O32" s="10"/>
      <c r="P32" s="10"/>
      <c r="Q32" s="10"/>
      <c r="R32" s="11"/>
      <c r="T32" s="1" t="s">
        <v>26</v>
      </c>
      <c r="U32" s="15">
        <v>6</v>
      </c>
      <c r="V32" s="15" t="s">
        <v>9</v>
      </c>
      <c r="W32" s="6">
        <v>1</v>
      </c>
      <c r="X32" s="7"/>
      <c r="Y32" s="7"/>
      <c r="Z32" s="7"/>
      <c r="AA32" s="7"/>
      <c r="AB32" s="8"/>
      <c r="AC32" s="15" t="s">
        <v>8</v>
      </c>
      <c r="AD32" s="6">
        <v>1</v>
      </c>
      <c r="AE32" s="7"/>
      <c r="AF32" s="7"/>
      <c r="AG32" s="7"/>
      <c r="AH32" s="7"/>
      <c r="AI32" s="8"/>
    </row>
    <row r="33" spans="2:35" x14ac:dyDescent="0.2">
      <c r="B33" s="16"/>
      <c r="C33" s="16"/>
      <c r="D33" s="16"/>
      <c r="E33" s="16"/>
      <c r="F33" s="9"/>
      <c r="G33" s="19"/>
      <c r="H33" s="19"/>
      <c r="I33" s="10"/>
      <c r="J33" s="10"/>
      <c r="K33" s="11"/>
      <c r="L33" s="18"/>
      <c r="M33" s="9"/>
      <c r="N33" s="19"/>
      <c r="O33" s="19"/>
      <c r="P33" s="10"/>
      <c r="Q33" s="10"/>
      <c r="R33" s="11"/>
      <c r="U33" s="16"/>
      <c r="V33" s="16"/>
      <c r="W33" s="9">
        <v>2</v>
      </c>
      <c r="X33" s="10"/>
      <c r="Y33" s="10"/>
      <c r="Z33" s="10"/>
      <c r="AA33" s="10"/>
      <c r="AB33" s="11"/>
      <c r="AC33" s="16"/>
      <c r="AD33" s="9">
        <v>2</v>
      </c>
      <c r="AE33" s="10"/>
      <c r="AF33" s="10"/>
      <c r="AG33" s="10"/>
      <c r="AH33" s="10"/>
      <c r="AI33" s="11"/>
    </row>
    <row r="34" spans="2:35" x14ac:dyDescent="0.2">
      <c r="B34" s="16"/>
      <c r="C34" s="16"/>
      <c r="D34" s="16"/>
      <c r="E34" s="16"/>
      <c r="F34" s="9"/>
      <c r="G34" s="19"/>
      <c r="H34" s="19"/>
      <c r="I34" s="10"/>
      <c r="J34" s="10"/>
      <c r="K34" s="11"/>
      <c r="L34" s="18"/>
      <c r="M34" s="9"/>
      <c r="N34" s="19"/>
      <c r="O34" s="19"/>
      <c r="P34" s="10"/>
      <c r="Q34" s="10"/>
      <c r="R34" s="11"/>
      <c r="U34" s="16"/>
      <c r="V34" s="16"/>
      <c r="W34" s="9">
        <v>3</v>
      </c>
      <c r="X34" s="10"/>
      <c r="Y34" s="10"/>
      <c r="Z34" s="10"/>
      <c r="AA34" s="10"/>
      <c r="AB34" s="11"/>
      <c r="AC34" s="16"/>
      <c r="AD34" s="9">
        <v>3</v>
      </c>
      <c r="AE34" s="10"/>
      <c r="AF34" s="10"/>
      <c r="AG34" s="10"/>
      <c r="AH34" s="10"/>
      <c r="AI34" s="11"/>
    </row>
    <row r="35" spans="2:35" x14ac:dyDescent="0.2">
      <c r="B35" s="16"/>
      <c r="C35" s="16"/>
      <c r="D35" s="16"/>
      <c r="E35" s="16"/>
      <c r="F35" s="9" t="s">
        <v>12</v>
      </c>
      <c r="G35" s="10">
        <f>(G30+G31+G32)/3</f>
        <v>0</v>
      </c>
      <c r="H35" s="10">
        <f t="shared" ref="H35:K35" si="32">(H30+H31+H32)/3</f>
        <v>0</v>
      </c>
      <c r="I35" s="10">
        <f t="shared" si="32"/>
        <v>0</v>
      </c>
      <c r="J35" s="10">
        <f t="shared" si="32"/>
        <v>0</v>
      </c>
      <c r="K35" s="10">
        <f t="shared" si="32"/>
        <v>0</v>
      </c>
      <c r="L35" s="18"/>
      <c r="M35" s="9" t="s">
        <v>12</v>
      </c>
      <c r="N35" s="10">
        <f>(N30+N31+N32)/3</f>
        <v>0</v>
      </c>
      <c r="O35" s="10">
        <f t="shared" ref="O35:R35" si="33">(O30+O31+O32)/3</f>
        <v>0</v>
      </c>
      <c r="P35" s="10">
        <f t="shared" si="33"/>
        <v>0</v>
      </c>
      <c r="Q35" s="10">
        <f t="shared" si="33"/>
        <v>0</v>
      </c>
      <c r="R35" s="10">
        <f t="shared" si="33"/>
        <v>0</v>
      </c>
      <c r="U35" s="16"/>
      <c r="V35" s="16"/>
      <c r="W35" s="9"/>
      <c r="X35" s="19"/>
      <c r="Y35" s="19"/>
      <c r="Z35" s="10"/>
      <c r="AA35" s="10"/>
      <c r="AB35" s="11"/>
      <c r="AC35" s="16"/>
      <c r="AD35" s="9"/>
      <c r="AE35" s="19"/>
      <c r="AF35" s="19"/>
      <c r="AG35" s="10"/>
      <c r="AH35" s="10"/>
      <c r="AI35" s="11"/>
    </row>
    <row r="36" spans="2:35" x14ac:dyDescent="0.2">
      <c r="B36" s="16"/>
      <c r="C36" s="16"/>
      <c r="D36" s="16"/>
      <c r="E36" s="16"/>
      <c r="F36" s="12" t="s">
        <v>13</v>
      </c>
      <c r="G36" s="13" t="e">
        <f>STDEV(G30:G34)</f>
        <v>#DIV/0!</v>
      </c>
      <c r="H36" s="13" t="e">
        <f t="shared" ref="H36:K36" si="34">STDEV(H30:H34)</f>
        <v>#DIV/0!</v>
      </c>
      <c r="I36" s="13" t="e">
        <f t="shared" si="34"/>
        <v>#DIV/0!</v>
      </c>
      <c r="J36" s="13" t="e">
        <f t="shared" si="34"/>
        <v>#DIV/0!</v>
      </c>
      <c r="K36" s="13" t="e">
        <f t="shared" si="34"/>
        <v>#DIV/0!</v>
      </c>
      <c r="L36" s="20"/>
      <c r="M36" s="12" t="s">
        <v>13</v>
      </c>
      <c r="N36" s="13" t="e">
        <f>STDEV(N30:N34)</f>
        <v>#DIV/0!</v>
      </c>
      <c r="O36" s="13" t="e">
        <f t="shared" ref="O36:R36" si="35">STDEV(O30:O34)</f>
        <v>#DIV/0!</v>
      </c>
      <c r="P36" s="13" t="e">
        <f t="shared" si="35"/>
        <v>#DIV/0!</v>
      </c>
      <c r="Q36" s="13" t="e">
        <f t="shared" si="35"/>
        <v>#DIV/0!</v>
      </c>
      <c r="R36" s="13" t="e">
        <f t="shared" si="35"/>
        <v>#DIV/0!</v>
      </c>
      <c r="U36" s="16"/>
      <c r="V36" s="16"/>
      <c r="W36" s="9"/>
      <c r="X36" s="19"/>
      <c r="Y36" s="19"/>
      <c r="Z36" s="10"/>
      <c r="AA36" s="10"/>
      <c r="AB36" s="11"/>
      <c r="AC36" s="16"/>
      <c r="AD36" s="9"/>
      <c r="AE36" s="19"/>
      <c r="AF36" s="19"/>
      <c r="AG36" s="10"/>
      <c r="AH36" s="10"/>
      <c r="AI36" s="11"/>
    </row>
    <row r="37" spans="2:35" x14ac:dyDescent="0.2">
      <c r="B37" s="16"/>
      <c r="C37" s="15">
        <v>12</v>
      </c>
      <c r="D37" s="15" t="s">
        <v>15</v>
      </c>
      <c r="E37" s="15" t="s">
        <v>9</v>
      </c>
      <c r="F37" s="6">
        <v>1</v>
      </c>
      <c r="G37" s="4">
        <v>36.9075508117675</v>
      </c>
      <c r="H37" s="4">
        <v>0.12524944543838501</v>
      </c>
      <c r="I37" s="4">
        <v>2049.39428710937</v>
      </c>
      <c r="J37" s="4">
        <v>45.270236216628803</v>
      </c>
      <c r="K37" s="4">
        <v>0.97535955905914296</v>
      </c>
      <c r="L37" s="17" t="s">
        <v>14</v>
      </c>
      <c r="M37" s="6">
        <v>1</v>
      </c>
      <c r="N37" s="7"/>
      <c r="O37" s="7"/>
      <c r="P37" s="7"/>
      <c r="Q37" s="7"/>
      <c r="R37" s="8"/>
      <c r="U37" s="16"/>
      <c r="V37" s="16"/>
      <c r="W37" s="9" t="s">
        <v>12</v>
      </c>
      <c r="X37" s="10">
        <f>(X32+X33+X34)/3</f>
        <v>0</v>
      </c>
      <c r="Y37" s="10">
        <f t="shared" ref="Y37:AB37" si="36">(Y32+Y33+Y34)/3</f>
        <v>0</v>
      </c>
      <c r="Z37" s="10">
        <f t="shared" si="36"/>
        <v>0</v>
      </c>
      <c r="AA37" s="10">
        <f t="shared" si="36"/>
        <v>0</v>
      </c>
      <c r="AB37" s="10">
        <f t="shared" si="36"/>
        <v>0</v>
      </c>
      <c r="AC37" s="16"/>
      <c r="AD37" s="9" t="s">
        <v>12</v>
      </c>
      <c r="AE37" s="10">
        <f>(AE32+AE33+AE34)/3</f>
        <v>0</v>
      </c>
      <c r="AF37" s="10">
        <f t="shared" ref="AF37:AI37" si="37">(AF32+AF33+AF34)/3</f>
        <v>0</v>
      </c>
      <c r="AG37" s="10">
        <f t="shared" si="37"/>
        <v>0</v>
      </c>
      <c r="AH37" s="10">
        <f t="shared" si="37"/>
        <v>0</v>
      </c>
      <c r="AI37" s="10">
        <f t="shared" si="37"/>
        <v>0</v>
      </c>
    </row>
    <row r="38" spans="2:35" x14ac:dyDescent="0.2">
      <c r="B38" s="16"/>
      <c r="C38" s="16"/>
      <c r="D38" s="16"/>
      <c r="E38" s="16"/>
      <c r="F38" s="9">
        <v>2</v>
      </c>
      <c r="G38" s="4">
        <v>34.140769958496001</v>
      </c>
      <c r="H38" s="4">
        <v>0.136371344327926</v>
      </c>
      <c r="I38" s="4">
        <v>2020.515625</v>
      </c>
      <c r="J38" s="4">
        <v>44.950145995313498</v>
      </c>
      <c r="K38" s="4">
        <v>0.97570675611495905</v>
      </c>
      <c r="L38" s="18"/>
      <c r="M38" s="9">
        <v>2</v>
      </c>
      <c r="N38" s="10"/>
      <c r="O38" s="10"/>
      <c r="P38" s="10"/>
      <c r="Q38" s="10"/>
      <c r="R38" s="11"/>
      <c r="U38" s="16"/>
      <c r="V38" s="16"/>
      <c r="W38" s="12" t="s">
        <v>13</v>
      </c>
      <c r="X38" s="13" t="e">
        <f>STDEV(X32:X36)</f>
        <v>#DIV/0!</v>
      </c>
      <c r="Y38" s="13" t="e">
        <f t="shared" ref="Y38:AB38" si="38">STDEV(Y32:Y36)</f>
        <v>#DIV/0!</v>
      </c>
      <c r="Z38" s="13" t="e">
        <f t="shared" si="38"/>
        <v>#DIV/0!</v>
      </c>
      <c r="AA38" s="13" t="e">
        <f t="shared" si="38"/>
        <v>#DIV/0!</v>
      </c>
      <c r="AB38" s="13" t="e">
        <f t="shared" si="38"/>
        <v>#DIV/0!</v>
      </c>
      <c r="AC38" s="16"/>
      <c r="AD38" s="12" t="s">
        <v>13</v>
      </c>
      <c r="AE38" s="13" t="e">
        <f>STDEV(AE32:AE36)</f>
        <v>#DIV/0!</v>
      </c>
      <c r="AF38" s="13" t="e">
        <f t="shared" ref="AF38:AI38" si="39">STDEV(AF32:AF36)</f>
        <v>#DIV/0!</v>
      </c>
      <c r="AG38" s="13" t="e">
        <f t="shared" si="39"/>
        <v>#DIV/0!</v>
      </c>
      <c r="AH38" s="13" t="e">
        <f t="shared" si="39"/>
        <v>#DIV/0!</v>
      </c>
      <c r="AI38" s="13" t="e">
        <f t="shared" si="39"/>
        <v>#DIV/0!</v>
      </c>
    </row>
    <row r="39" spans="2:35" x14ac:dyDescent="0.2">
      <c r="B39" s="16"/>
      <c r="C39" s="16"/>
      <c r="D39" s="16"/>
      <c r="E39" s="16"/>
      <c r="F39" s="9">
        <v>3</v>
      </c>
      <c r="G39" s="4">
        <v>37.082847595214801</v>
      </c>
      <c r="H39" s="4">
        <v>0.116772398352622</v>
      </c>
      <c r="I39" s="4">
        <v>2359.82202148437</v>
      </c>
      <c r="J39" s="4">
        <v>48.577999356543799</v>
      </c>
      <c r="K39" s="4">
        <v>0.97162717580795199</v>
      </c>
      <c r="L39" s="18"/>
      <c r="M39" s="9">
        <v>3</v>
      </c>
      <c r="N39" s="10"/>
      <c r="O39" s="10"/>
      <c r="P39" s="10"/>
      <c r="Q39" s="10"/>
      <c r="R39" s="11"/>
      <c r="U39" s="15">
        <v>12</v>
      </c>
      <c r="V39" s="15" t="s">
        <v>9</v>
      </c>
      <c r="W39" s="6">
        <v>1</v>
      </c>
      <c r="X39" s="7"/>
      <c r="Y39" s="7"/>
      <c r="Z39" s="7"/>
      <c r="AA39" s="7"/>
      <c r="AB39" s="8"/>
      <c r="AC39" s="15" t="s">
        <v>8</v>
      </c>
      <c r="AD39" s="6">
        <v>1</v>
      </c>
      <c r="AE39" s="7"/>
      <c r="AF39" s="7"/>
      <c r="AG39" s="7"/>
      <c r="AH39" s="7"/>
      <c r="AI39" s="8"/>
    </row>
    <row r="40" spans="2:35" x14ac:dyDescent="0.2">
      <c r="B40" s="16"/>
      <c r="C40" s="16"/>
      <c r="D40" s="16"/>
      <c r="E40" s="16"/>
      <c r="F40" s="9"/>
      <c r="G40" s="19"/>
      <c r="H40" s="19"/>
      <c r="I40" s="10"/>
      <c r="J40" s="10"/>
      <c r="K40" s="11"/>
      <c r="L40" s="18"/>
      <c r="M40" s="9"/>
      <c r="N40" s="19"/>
      <c r="O40" s="19"/>
      <c r="P40" s="10"/>
      <c r="Q40" s="10"/>
      <c r="R40" s="11"/>
      <c r="U40" s="16"/>
      <c r="V40" s="16"/>
      <c r="W40" s="9">
        <v>2</v>
      </c>
      <c r="X40" s="10"/>
      <c r="Y40" s="10"/>
      <c r="Z40" s="10"/>
      <c r="AA40" s="10"/>
      <c r="AB40" s="11"/>
      <c r="AC40" s="16"/>
      <c r="AD40" s="9">
        <v>2</v>
      </c>
      <c r="AE40" s="10"/>
      <c r="AF40" s="10"/>
      <c r="AG40" s="10"/>
      <c r="AH40" s="10"/>
      <c r="AI40" s="11"/>
    </row>
    <row r="41" spans="2:35" x14ac:dyDescent="0.2">
      <c r="B41" s="16"/>
      <c r="C41" s="16"/>
      <c r="D41" s="16"/>
      <c r="E41" s="16"/>
      <c r="F41" s="9"/>
      <c r="G41" s="19"/>
      <c r="H41" s="19"/>
      <c r="I41" s="10"/>
      <c r="J41" s="10"/>
      <c r="K41" s="11"/>
      <c r="L41" s="18"/>
      <c r="M41" s="9"/>
      <c r="N41" s="19"/>
      <c r="O41" s="19"/>
      <c r="P41" s="10"/>
      <c r="Q41" s="10"/>
      <c r="R41" s="11"/>
      <c r="U41" s="16"/>
      <c r="V41" s="16"/>
      <c r="W41" s="9">
        <v>3</v>
      </c>
      <c r="X41" s="10"/>
      <c r="Y41" s="10"/>
      <c r="Z41" s="10"/>
      <c r="AA41" s="10"/>
      <c r="AB41" s="11"/>
      <c r="AC41" s="16"/>
      <c r="AD41" s="9">
        <v>3</v>
      </c>
      <c r="AE41" s="10"/>
      <c r="AF41" s="10"/>
      <c r="AG41" s="10"/>
      <c r="AH41" s="10"/>
      <c r="AI41" s="11"/>
    </row>
    <row r="42" spans="2:35" x14ac:dyDescent="0.2">
      <c r="B42" s="16"/>
      <c r="C42" s="16"/>
      <c r="D42" s="16"/>
      <c r="E42" s="16"/>
      <c r="F42" s="9" t="s">
        <v>12</v>
      </c>
      <c r="G42" s="10">
        <f>(G37+G38+G39)/3</f>
        <v>36.043722788492765</v>
      </c>
      <c r="H42" s="10">
        <f t="shared" ref="H42:K42" si="40">(H37+H38+H39)/3</f>
        <v>0.126131062706311</v>
      </c>
      <c r="I42" s="10">
        <f t="shared" si="40"/>
        <v>2143.2439778645798</v>
      </c>
      <c r="J42" s="10">
        <f t="shared" si="40"/>
        <v>46.266127189495364</v>
      </c>
      <c r="K42" s="10">
        <f t="shared" si="40"/>
        <v>0.97423116366068463</v>
      </c>
      <c r="L42" s="18"/>
      <c r="M42" s="9" t="s">
        <v>12</v>
      </c>
      <c r="N42" s="10">
        <f>(N37+N38+N39)/3</f>
        <v>0</v>
      </c>
      <c r="O42" s="10">
        <f t="shared" ref="O42:R42" si="41">(O37+O38+O39)/3</f>
        <v>0</v>
      </c>
      <c r="P42" s="10">
        <f t="shared" si="41"/>
        <v>0</v>
      </c>
      <c r="Q42" s="10">
        <f t="shared" si="41"/>
        <v>0</v>
      </c>
      <c r="R42" s="10">
        <f t="shared" si="41"/>
        <v>0</v>
      </c>
      <c r="U42" s="16"/>
      <c r="V42" s="16"/>
      <c r="W42" s="9"/>
      <c r="X42" s="19"/>
      <c r="Y42" s="19"/>
      <c r="Z42" s="10"/>
      <c r="AA42" s="10"/>
      <c r="AB42" s="11"/>
      <c r="AC42" s="16"/>
      <c r="AD42" s="9"/>
      <c r="AE42" s="19"/>
      <c r="AF42" s="19"/>
      <c r="AG42" s="10"/>
      <c r="AH42" s="10"/>
      <c r="AI42" s="11"/>
    </row>
    <row r="43" spans="2:35" x14ac:dyDescent="0.2">
      <c r="B43" s="16"/>
      <c r="C43" s="16"/>
      <c r="D43" s="16"/>
      <c r="E43" s="16"/>
      <c r="F43" s="12" t="s">
        <v>13</v>
      </c>
      <c r="G43" s="13">
        <f>STDEV(G37:G41)</f>
        <v>1.6503346162115935</v>
      </c>
      <c r="H43" s="13">
        <f t="shared" ref="H43:K43" si="42">STDEV(H37:H41)</f>
        <v>9.8291712565734737E-3</v>
      </c>
      <c r="I43" s="13">
        <f t="shared" si="42"/>
        <v>188.11706731431502</v>
      </c>
      <c r="J43" s="13">
        <f t="shared" si="42"/>
        <v>2.0085266055059692</v>
      </c>
      <c r="K43" s="13">
        <f t="shared" si="42"/>
        <v>2.2617915469327256E-3</v>
      </c>
      <c r="L43" s="20"/>
      <c r="M43" s="12" t="s">
        <v>13</v>
      </c>
      <c r="N43" s="13" t="e">
        <f>STDEV(N37:N41)</f>
        <v>#DIV/0!</v>
      </c>
      <c r="O43" s="13" t="e">
        <f t="shared" ref="O43:R43" si="43">STDEV(O37:O41)</f>
        <v>#DIV/0!</v>
      </c>
      <c r="P43" s="13" t="e">
        <f t="shared" si="43"/>
        <v>#DIV/0!</v>
      </c>
      <c r="Q43" s="13" t="e">
        <f t="shared" si="43"/>
        <v>#DIV/0!</v>
      </c>
      <c r="R43" s="13" t="e">
        <f t="shared" si="43"/>
        <v>#DIV/0!</v>
      </c>
      <c r="U43" s="16"/>
      <c r="V43" s="16"/>
      <c r="W43" s="9"/>
      <c r="X43" s="19"/>
      <c r="Y43" s="19"/>
      <c r="Z43" s="10"/>
      <c r="AA43" s="10"/>
      <c r="AB43" s="11"/>
      <c r="AC43" s="16"/>
      <c r="AD43" s="9"/>
      <c r="AE43" s="19"/>
      <c r="AF43" s="19"/>
      <c r="AG43" s="10"/>
      <c r="AH43" s="10"/>
      <c r="AI43" s="11"/>
    </row>
    <row r="44" spans="2:35" x14ac:dyDescent="0.2">
      <c r="B44" s="16"/>
      <c r="C44" s="16"/>
      <c r="D44" s="15" t="s">
        <v>16</v>
      </c>
      <c r="E44" s="15" t="s">
        <v>9</v>
      </c>
      <c r="F44" s="6">
        <v>1</v>
      </c>
      <c r="G44" s="7"/>
      <c r="H44" s="7"/>
      <c r="I44" s="7"/>
      <c r="J44" s="7"/>
      <c r="K44" s="8"/>
      <c r="L44" s="17" t="s">
        <v>14</v>
      </c>
      <c r="M44" s="6">
        <v>1</v>
      </c>
      <c r="N44" s="7"/>
      <c r="O44" s="7"/>
      <c r="P44" s="7"/>
      <c r="Q44" s="7"/>
      <c r="R44" s="8"/>
      <c r="U44" s="16"/>
      <c r="V44" s="16"/>
      <c r="W44" s="9" t="s">
        <v>12</v>
      </c>
      <c r="X44" s="10">
        <f>(X39+X40+X41)/3</f>
        <v>0</v>
      </c>
      <c r="Y44" s="10">
        <f t="shared" ref="Y44:AB44" si="44">(Y39+Y40+Y41)/3</f>
        <v>0</v>
      </c>
      <c r="Z44" s="10">
        <f t="shared" si="44"/>
        <v>0</v>
      </c>
      <c r="AA44" s="10">
        <f t="shared" si="44"/>
        <v>0</v>
      </c>
      <c r="AB44" s="10">
        <f t="shared" si="44"/>
        <v>0</v>
      </c>
      <c r="AC44" s="16"/>
      <c r="AD44" s="9" t="s">
        <v>12</v>
      </c>
      <c r="AE44" s="10">
        <f>(AE39+AE40+AE41)/3</f>
        <v>0</v>
      </c>
      <c r="AF44" s="10">
        <f t="shared" ref="AF44:AI44" si="45">(AF39+AF40+AF41)/3</f>
        <v>0</v>
      </c>
      <c r="AG44" s="10">
        <f t="shared" si="45"/>
        <v>0</v>
      </c>
      <c r="AH44" s="10">
        <f t="shared" si="45"/>
        <v>0</v>
      </c>
      <c r="AI44" s="10">
        <f t="shared" si="45"/>
        <v>0</v>
      </c>
    </row>
    <row r="45" spans="2:35" x14ac:dyDescent="0.2">
      <c r="B45" s="16"/>
      <c r="C45" s="16"/>
      <c r="D45" s="16"/>
      <c r="E45" s="16"/>
      <c r="F45" s="9">
        <v>2</v>
      </c>
      <c r="G45" s="10"/>
      <c r="H45" s="10"/>
      <c r="I45" s="10"/>
      <c r="J45" s="10"/>
      <c r="K45" s="11"/>
      <c r="L45" s="18"/>
      <c r="M45" s="9">
        <v>2</v>
      </c>
      <c r="N45" s="10"/>
      <c r="O45" s="10"/>
      <c r="P45" s="10"/>
      <c r="Q45" s="10"/>
      <c r="R45" s="11"/>
      <c r="U45" s="16"/>
      <c r="V45" s="16"/>
      <c r="W45" s="12" t="s">
        <v>13</v>
      </c>
      <c r="X45" s="13" t="e">
        <f>STDEV(X39:X43)</f>
        <v>#DIV/0!</v>
      </c>
      <c r="Y45" s="13" t="e">
        <f t="shared" ref="Y45:AB45" si="46">STDEV(Y39:Y43)</f>
        <v>#DIV/0!</v>
      </c>
      <c r="Z45" s="13" t="e">
        <f t="shared" si="46"/>
        <v>#DIV/0!</v>
      </c>
      <c r="AA45" s="13" t="e">
        <f t="shared" si="46"/>
        <v>#DIV/0!</v>
      </c>
      <c r="AB45" s="13" t="e">
        <f t="shared" si="46"/>
        <v>#DIV/0!</v>
      </c>
      <c r="AC45" s="16"/>
      <c r="AD45" s="12" t="s">
        <v>13</v>
      </c>
      <c r="AE45" s="13" t="e">
        <f>STDEV(AE39:AE43)</f>
        <v>#DIV/0!</v>
      </c>
      <c r="AF45" s="13" t="e">
        <f t="shared" ref="AF45:AI45" si="47">STDEV(AF39:AF43)</f>
        <v>#DIV/0!</v>
      </c>
      <c r="AG45" s="13" t="e">
        <f t="shared" si="47"/>
        <v>#DIV/0!</v>
      </c>
      <c r="AH45" s="13" t="e">
        <f t="shared" si="47"/>
        <v>#DIV/0!</v>
      </c>
      <c r="AI45" s="13" t="e">
        <f t="shared" si="47"/>
        <v>#DIV/0!</v>
      </c>
    </row>
    <row r="46" spans="2:35" x14ac:dyDescent="0.2">
      <c r="B46" s="16"/>
      <c r="C46" s="16"/>
      <c r="D46" s="16"/>
      <c r="E46" s="16"/>
      <c r="F46" s="9">
        <v>3</v>
      </c>
      <c r="G46" s="10"/>
      <c r="H46" s="10"/>
      <c r="I46" s="10"/>
      <c r="J46" s="10"/>
      <c r="K46" s="11"/>
      <c r="L46" s="18"/>
      <c r="M46" s="9">
        <v>3</v>
      </c>
      <c r="N46" s="10"/>
      <c r="O46" s="10"/>
      <c r="P46" s="10"/>
      <c r="Q46" s="10"/>
      <c r="R46" s="11"/>
      <c r="U46" s="15">
        <v>14</v>
      </c>
      <c r="V46" s="15" t="s">
        <v>9</v>
      </c>
      <c r="W46" s="6">
        <v>1</v>
      </c>
      <c r="X46" s="7"/>
      <c r="Y46" s="7"/>
      <c r="Z46" s="7"/>
      <c r="AA46" s="7"/>
      <c r="AB46" s="8"/>
      <c r="AC46" s="15" t="s">
        <v>8</v>
      </c>
      <c r="AD46" s="6">
        <v>1</v>
      </c>
      <c r="AE46" s="7"/>
      <c r="AF46" s="7"/>
      <c r="AG46" s="7"/>
      <c r="AH46" s="7"/>
      <c r="AI46" s="8"/>
    </row>
    <row r="47" spans="2:35" x14ac:dyDescent="0.2">
      <c r="B47" s="16"/>
      <c r="C47" s="16"/>
      <c r="D47" s="16"/>
      <c r="E47" s="16"/>
      <c r="F47" s="9"/>
      <c r="G47" s="19"/>
      <c r="H47" s="19"/>
      <c r="I47" s="10"/>
      <c r="J47" s="10"/>
      <c r="K47" s="11"/>
      <c r="L47" s="18"/>
      <c r="M47" s="9"/>
      <c r="N47" s="19"/>
      <c r="O47" s="19"/>
      <c r="P47" s="10"/>
      <c r="Q47" s="10"/>
      <c r="R47" s="11"/>
      <c r="U47" s="16"/>
      <c r="V47" s="16"/>
      <c r="W47" s="9">
        <v>2</v>
      </c>
      <c r="X47" s="10"/>
      <c r="Y47" s="10"/>
      <c r="Z47" s="10"/>
      <c r="AA47" s="10"/>
      <c r="AB47" s="11"/>
      <c r="AC47" s="16"/>
      <c r="AD47" s="9">
        <v>2</v>
      </c>
      <c r="AE47" s="10"/>
      <c r="AF47" s="10"/>
      <c r="AG47" s="10"/>
      <c r="AH47" s="10"/>
      <c r="AI47" s="11"/>
    </row>
    <row r="48" spans="2:35" x14ac:dyDescent="0.2">
      <c r="B48" s="16"/>
      <c r="C48" s="16"/>
      <c r="D48" s="16"/>
      <c r="E48" s="16"/>
      <c r="F48" s="9"/>
      <c r="G48" s="19"/>
      <c r="H48" s="19"/>
      <c r="I48" s="10"/>
      <c r="J48" s="10"/>
      <c r="K48" s="11"/>
      <c r="L48" s="18"/>
      <c r="M48" s="9"/>
      <c r="N48" s="19"/>
      <c r="O48" s="19"/>
      <c r="P48" s="10"/>
      <c r="Q48" s="10"/>
      <c r="R48" s="11"/>
      <c r="U48" s="16"/>
      <c r="V48" s="16"/>
      <c r="W48" s="9">
        <v>3</v>
      </c>
      <c r="X48" s="10"/>
      <c r="Y48" s="10"/>
      <c r="Z48" s="10"/>
      <c r="AA48" s="10"/>
      <c r="AB48" s="11"/>
      <c r="AC48" s="16"/>
      <c r="AD48" s="9">
        <v>3</v>
      </c>
      <c r="AE48" s="10"/>
      <c r="AF48" s="10"/>
      <c r="AG48" s="10"/>
      <c r="AH48" s="10"/>
      <c r="AI48" s="11"/>
    </row>
    <row r="49" spans="2:35" x14ac:dyDescent="0.2">
      <c r="B49" s="16"/>
      <c r="C49" s="16"/>
      <c r="D49" s="16"/>
      <c r="E49" s="16"/>
      <c r="F49" s="9" t="s">
        <v>12</v>
      </c>
      <c r="G49" s="10">
        <f>(G44+G45+G46)/3</f>
        <v>0</v>
      </c>
      <c r="H49" s="10">
        <f t="shared" ref="H49:K49" si="48">(H44+H45+H46)/3</f>
        <v>0</v>
      </c>
      <c r="I49" s="10">
        <f t="shared" si="48"/>
        <v>0</v>
      </c>
      <c r="J49" s="10">
        <f t="shared" si="48"/>
        <v>0</v>
      </c>
      <c r="K49" s="10">
        <f t="shared" si="48"/>
        <v>0</v>
      </c>
      <c r="L49" s="18"/>
      <c r="M49" s="9" t="s">
        <v>12</v>
      </c>
      <c r="N49" s="10">
        <f>(N44+N45+N46)/3</f>
        <v>0</v>
      </c>
      <c r="O49" s="10">
        <f t="shared" ref="O49:R49" si="49">(O44+O45+O46)/3</f>
        <v>0</v>
      </c>
      <c r="P49" s="10">
        <f t="shared" si="49"/>
        <v>0</v>
      </c>
      <c r="Q49" s="10">
        <f t="shared" si="49"/>
        <v>0</v>
      </c>
      <c r="R49" s="10">
        <f t="shared" si="49"/>
        <v>0</v>
      </c>
      <c r="U49" s="16"/>
      <c r="V49" s="16"/>
      <c r="W49" s="9"/>
      <c r="X49" s="19"/>
      <c r="Y49" s="19"/>
      <c r="Z49" s="10"/>
      <c r="AA49" s="10"/>
      <c r="AB49" s="11"/>
      <c r="AC49" s="16"/>
      <c r="AD49" s="9"/>
      <c r="AE49" s="19"/>
      <c r="AF49" s="19"/>
      <c r="AG49" s="10"/>
      <c r="AH49" s="10"/>
      <c r="AI49" s="11"/>
    </row>
    <row r="50" spans="2:35" x14ac:dyDescent="0.2">
      <c r="B50" s="16"/>
      <c r="C50" s="16"/>
      <c r="D50" s="16"/>
      <c r="E50" s="16"/>
      <c r="F50" s="12" t="s">
        <v>13</v>
      </c>
      <c r="G50" s="13" t="e">
        <f>STDEV(G44:G48)</f>
        <v>#DIV/0!</v>
      </c>
      <c r="H50" s="13" t="e">
        <f t="shared" ref="H50:K50" si="50">STDEV(H44:H48)</f>
        <v>#DIV/0!</v>
      </c>
      <c r="I50" s="13" t="e">
        <f t="shared" si="50"/>
        <v>#DIV/0!</v>
      </c>
      <c r="J50" s="13" t="e">
        <f t="shared" si="50"/>
        <v>#DIV/0!</v>
      </c>
      <c r="K50" s="13" t="e">
        <f t="shared" si="50"/>
        <v>#DIV/0!</v>
      </c>
      <c r="L50" s="20"/>
      <c r="M50" s="12" t="s">
        <v>13</v>
      </c>
      <c r="N50" s="13" t="e">
        <f>STDEV(N44:N48)</f>
        <v>#DIV/0!</v>
      </c>
      <c r="O50" s="13" t="e">
        <f t="shared" ref="O50:R50" si="51">STDEV(O44:O48)</f>
        <v>#DIV/0!</v>
      </c>
      <c r="P50" s="13" t="e">
        <f t="shared" si="51"/>
        <v>#DIV/0!</v>
      </c>
      <c r="Q50" s="13" t="e">
        <f t="shared" si="51"/>
        <v>#DIV/0!</v>
      </c>
      <c r="R50" s="13" t="e">
        <f t="shared" si="51"/>
        <v>#DIV/0!</v>
      </c>
      <c r="U50" s="16"/>
      <c r="V50" s="16"/>
      <c r="W50" s="9"/>
      <c r="X50" s="19"/>
      <c r="Y50" s="19"/>
      <c r="Z50" s="10"/>
      <c r="AA50" s="10"/>
      <c r="AB50" s="11"/>
      <c r="AC50" s="16"/>
      <c r="AD50" s="9"/>
      <c r="AE50" s="19"/>
      <c r="AF50" s="19"/>
      <c r="AG50" s="10"/>
      <c r="AH50" s="10"/>
      <c r="AI50" s="11"/>
    </row>
    <row r="51" spans="2:35" x14ac:dyDescent="0.2">
      <c r="B51" s="16"/>
      <c r="C51" s="16"/>
      <c r="D51" s="15" t="s">
        <v>17</v>
      </c>
      <c r="E51" s="15" t="s">
        <v>9</v>
      </c>
      <c r="F51" s="6">
        <v>1</v>
      </c>
      <c r="G51" s="7"/>
      <c r="H51" s="7"/>
      <c r="I51" s="7"/>
      <c r="J51" s="7"/>
      <c r="K51" s="8"/>
      <c r="L51" s="17" t="s">
        <v>14</v>
      </c>
      <c r="M51" s="6">
        <v>1</v>
      </c>
      <c r="N51" s="7"/>
      <c r="O51" s="7"/>
      <c r="P51" s="7"/>
      <c r="Q51" s="7"/>
      <c r="R51" s="8"/>
      <c r="U51" s="16"/>
      <c r="V51" s="16"/>
      <c r="W51" s="9" t="s">
        <v>12</v>
      </c>
      <c r="X51" s="10">
        <f>(X46+X47+X48)/3</f>
        <v>0</v>
      </c>
      <c r="Y51" s="10">
        <f t="shared" ref="Y51:AB51" si="52">(Y46+Y47+Y48)/3</f>
        <v>0</v>
      </c>
      <c r="Z51" s="10">
        <f t="shared" si="52"/>
        <v>0</v>
      </c>
      <c r="AA51" s="10">
        <f t="shared" si="52"/>
        <v>0</v>
      </c>
      <c r="AB51" s="10">
        <f t="shared" si="52"/>
        <v>0</v>
      </c>
      <c r="AC51" s="16"/>
      <c r="AD51" s="9" t="s">
        <v>12</v>
      </c>
      <c r="AE51" s="10">
        <f>(AE46+AE47+AE48)/3</f>
        <v>0</v>
      </c>
      <c r="AF51" s="10">
        <f t="shared" ref="AF51:AI51" si="53">(AF46+AF47+AF48)/3</f>
        <v>0</v>
      </c>
      <c r="AG51" s="10">
        <f t="shared" si="53"/>
        <v>0</v>
      </c>
      <c r="AH51" s="10">
        <f t="shared" si="53"/>
        <v>0</v>
      </c>
      <c r="AI51" s="10">
        <f t="shared" si="53"/>
        <v>0</v>
      </c>
    </row>
    <row r="52" spans="2:35" x14ac:dyDescent="0.2">
      <c r="B52" s="16"/>
      <c r="C52" s="16"/>
      <c r="D52" s="16"/>
      <c r="E52" s="16"/>
      <c r="F52" s="9">
        <v>2</v>
      </c>
      <c r="G52" s="10"/>
      <c r="H52" s="10"/>
      <c r="I52" s="10"/>
      <c r="J52" s="10"/>
      <c r="K52" s="11"/>
      <c r="L52" s="18"/>
      <c r="M52" s="9">
        <v>2</v>
      </c>
      <c r="N52" s="10"/>
      <c r="O52" s="10"/>
      <c r="P52" s="10"/>
      <c r="Q52" s="10"/>
      <c r="R52" s="11"/>
      <c r="U52" s="16"/>
      <c r="V52" s="16"/>
      <c r="W52" s="12" t="s">
        <v>13</v>
      </c>
      <c r="X52" s="13" t="e">
        <f>STDEV(X46:X50)</f>
        <v>#DIV/0!</v>
      </c>
      <c r="Y52" s="13" t="e">
        <f t="shared" ref="Y52:AB52" si="54">STDEV(Y46:Y50)</f>
        <v>#DIV/0!</v>
      </c>
      <c r="Z52" s="13" t="e">
        <f t="shared" si="54"/>
        <v>#DIV/0!</v>
      </c>
      <c r="AA52" s="13" t="e">
        <f t="shared" si="54"/>
        <v>#DIV/0!</v>
      </c>
      <c r="AB52" s="13" t="e">
        <f t="shared" si="54"/>
        <v>#DIV/0!</v>
      </c>
      <c r="AC52" s="16"/>
      <c r="AD52" s="12" t="s">
        <v>13</v>
      </c>
      <c r="AE52" s="13" t="e">
        <f>STDEV(AE46:AE50)</f>
        <v>#DIV/0!</v>
      </c>
      <c r="AF52" s="13" t="e">
        <f t="shared" ref="AF52:AI52" si="55">STDEV(AF46:AF50)</f>
        <v>#DIV/0!</v>
      </c>
      <c r="AG52" s="13" t="e">
        <f t="shared" si="55"/>
        <v>#DIV/0!</v>
      </c>
      <c r="AH52" s="13" t="e">
        <f t="shared" si="55"/>
        <v>#DIV/0!</v>
      </c>
      <c r="AI52" s="13" t="e">
        <f t="shared" si="55"/>
        <v>#DIV/0!</v>
      </c>
    </row>
    <row r="53" spans="2:35" x14ac:dyDescent="0.2">
      <c r="B53" s="16"/>
      <c r="C53" s="16"/>
      <c r="D53" s="16"/>
      <c r="E53" s="16"/>
      <c r="F53" s="9">
        <v>3</v>
      </c>
      <c r="G53" s="10"/>
      <c r="H53" s="10"/>
      <c r="I53" s="10"/>
      <c r="J53" s="10"/>
      <c r="K53" s="11"/>
      <c r="L53" s="18"/>
      <c r="M53" s="9">
        <v>3</v>
      </c>
      <c r="N53" s="10"/>
      <c r="O53" s="10"/>
      <c r="P53" s="10"/>
      <c r="Q53" s="10"/>
      <c r="R53" s="11"/>
      <c r="U53" s="15">
        <v>16</v>
      </c>
      <c r="V53" s="15" t="s">
        <v>9</v>
      </c>
      <c r="W53" s="6">
        <v>1</v>
      </c>
      <c r="X53" s="7"/>
      <c r="Y53" s="7"/>
      <c r="Z53" s="7"/>
      <c r="AA53" s="7"/>
      <c r="AB53" s="8"/>
      <c r="AC53" s="15" t="s">
        <v>8</v>
      </c>
      <c r="AD53" s="6">
        <v>1</v>
      </c>
      <c r="AE53" s="7"/>
      <c r="AF53" s="7"/>
      <c r="AG53" s="7"/>
      <c r="AH53" s="7"/>
      <c r="AI53" s="8"/>
    </row>
    <row r="54" spans="2:35" x14ac:dyDescent="0.2">
      <c r="B54" s="16"/>
      <c r="C54" s="16"/>
      <c r="D54" s="16"/>
      <c r="E54" s="16"/>
      <c r="F54" s="9"/>
      <c r="G54" s="19"/>
      <c r="H54" s="19"/>
      <c r="I54" s="10"/>
      <c r="J54" s="10"/>
      <c r="K54" s="11"/>
      <c r="L54" s="18"/>
      <c r="M54" s="9"/>
      <c r="N54" s="19"/>
      <c r="O54" s="19"/>
      <c r="P54" s="10"/>
      <c r="Q54" s="10"/>
      <c r="R54" s="11"/>
      <c r="U54" s="16"/>
      <c r="V54" s="16"/>
      <c r="W54" s="9">
        <v>2</v>
      </c>
      <c r="X54" s="10"/>
      <c r="Y54" s="10"/>
      <c r="Z54" s="10"/>
      <c r="AA54" s="10"/>
      <c r="AB54" s="11"/>
      <c r="AC54" s="16"/>
      <c r="AD54" s="9">
        <v>2</v>
      </c>
      <c r="AE54" s="10"/>
      <c r="AF54" s="10"/>
      <c r="AG54" s="10"/>
      <c r="AH54" s="10"/>
      <c r="AI54" s="11"/>
    </row>
    <row r="55" spans="2:35" x14ac:dyDescent="0.2">
      <c r="B55" s="16"/>
      <c r="C55" s="16"/>
      <c r="D55" s="16"/>
      <c r="E55" s="16"/>
      <c r="F55" s="9"/>
      <c r="G55" s="19"/>
      <c r="H55" s="19"/>
      <c r="I55" s="10"/>
      <c r="J55" s="10"/>
      <c r="K55" s="11"/>
      <c r="L55" s="18"/>
      <c r="M55" s="9"/>
      <c r="N55" s="19"/>
      <c r="O55" s="19"/>
      <c r="P55" s="10"/>
      <c r="Q55" s="10"/>
      <c r="R55" s="11"/>
      <c r="U55" s="16"/>
      <c r="V55" s="16"/>
      <c r="W55" s="9">
        <v>3</v>
      </c>
      <c r="X55" s="10"/>
      <c r="Y55" s="10"/>
      <c r="Z55" s="10"/>
      <c r="AA55" s="10"/>
      <c r="AB55" s="11"/>
      <c r="AC55" s="16"/>
      <c r="AD55" s="9">
        <v>3</v>
      </c>
      <c r="AE55" s="10"/>
      <c r="AF55" s="10"/>
      <c r="AG55" s="10"/>
      <c r="AH55" s="10"/>
      <c r="AI55" s="11"/>
    </row>
    <row r="56" spans="2:35" x14ac:dyDescent="0.2">
      <c r="B56" s="16"/>
      <c r="C56" s="16"/>
      <c r="D56" s="16"/>
      <c r="E56" s="16"/>
      <c r="F56" s="9" t="s">
        <v>12</v>
      </c>
      <c r="G56" s="10">
        <f>(G51+G52+G53)/3</f>
        <v>0</v>
      </c>
      <c r="H56" s="10">
        <f t="shared" ref="H56:K56" si="56">(H51+H52+H53)/3</f>
        <v>0</v>
      </c>
      <c r="I56" s="10">
        <f t="shared" si="56"/>
        <v>0</v>
      </c>
      <c r="J56" s="10">
        <f t="shared" si="56"/>
        <v>0</v>
      </c>
      <c r="K56" s="10">
        <f t="shared" si="56"/>
        <v>0</v>
      </c>
      <c r="L56" s="18"/>
      <c r="M56" s="9" t="s">
        <v>12</v>
      </c>
      <c r="N56" s="10">
        <f>(N51+N52+N53)/3</f>
        <v>0</v>
      </c>
      <c r="O56" s="10">
        <f t="shared" ref="O56:R56" si="57">(O51+O52+O53)/3</f>
        <v>0</v>
      </c>
      <c r="P56" s="10">
        <f t="shared" si="57"/>
        <v>0</v>
      </c>
      <c r="Q56" s="10">
        <f t="shared" si="57"/>
        <v>0</v>
      </c>
      <c r="R56" s="10">
        <f t="shared" si="57"/>
        <v>0</v>
      </c>
      <c r="U56" s="16"/>
      <c r="V56" s="16"/>
      <c r="W56" s="9"/>
      <c r="X56" s="19"/>
      <c r="Y56" s="19"/>
      <c r="Z56" s="10"/>
      <c r="AA56" s="10"/>
      <c r="AB56" s="11"/>
      <c r="AC56" s="16"/>
      <c r="AD56" s="9"/>
      <c r="AE56" s="19"/>
      <c r="AF56" s="19"/>
      <c r="AG56" s="10"/>
      <c r="AH56" s="10"/>
      <c r="AI56" s="11"/>
    </row>
    <row r="57" spans="2:35" x14ac:dyDescent="0.2">
      <c r="B57" s="16"/>
      <c r="C57" s="16"/>
      <c r="D57" s="16"/>
      <c r="E57" s="16"/>
      <c r="F57" s="12" t="s">
        <v>13</v>
      </c>
      <c r="G57" s="13" t="e">
        <f>STDEV(G51:G55)</f>
        <v>#DIV/0!</v>
      </c>
      <c r="H57" s="13" t="e">
        <f t="shared" ref="H57:K57" si="58">STDEV(H51:H55)</f>
        <v>#DIV/0!</v>
      </c>
      <c r="I57" s="13" t="e">
        <f t="shared" si="58"/>
        <v>#DIV/0!</v>
      </c>
      <c r="J57" s="13" t="e">
        <f t="shared" si="58"/>
        <v>#DIV/0!</v>
      </c>
      <c r="K57" s="13" t="e">
        <f t="shared" si="58"/>
        <v>#DIV/0!</v>
      </c>
      <c r="L57" s="20"/>
      <c r="M57" s="12" t="s">
        <v>13</v>
      </c>
      <c r="N57" s="13" t="e">
        <f>STDEV(N51:N55)</f>
        <v>#DIV/0!</v>
      </c>
      <c r="O57" s="13" t="e">
        <f t="shared" ref="O57:R57" si="59">STDEV(O51:O55)</f>
        <v>#DIV/0!</v>
      </c>
      <c r="P57" s="13" t="e">
        <f t="shared" si="59"/>
        <v>#DIV/0!</v>
      </c>
      <c r="Q57" s="13" t="e">
        <f t="shared" si="59"/>
        <v>#DIV/0!</v>
      </c>
      <c r="R57" s="13" t="e">
        <f t="shared" si="59"/>
        <v>#DIV/0!</v>
      </c>
      <c r="U57" s="16"/>
      <c r="V57" s="16"/>
      <c r="W57" s="9"/>
      <c r="X57" s="19"/>
      <c r="Y57" s="19"/>
      <c r="Z57" s="10"/>
      <c r="AA57" s="10"/>
      <c r="AB57" s="11"/>
      <c r="AC57" s="16"/>
      <c r="AD57" s="9"/>
      <c r="AE57" s="19"/>
      <c r="AF57" s="19"/>
      <c r="AG57" s="10"/>
      <c r="AH57" s="10"/>
      <c r="AI57" s="11"/>
    </row>
    <row r="58" spans="2:35" x14ac:dyDescent="0.2">
      <c r="B58" s="16"/>
      <c r="C58" s="16"/>
      <c r="D58" s="21" t="s">
        <v>18</v>
      </c>
      <c r="E58" s="15" t="s">
        <v>9</v>
      </c>
      <c r="F58" s="6">
        <v>1</v>
      </c>
      <c r="G58" s="7"/>
      <c r="H58" s="7"/>
      <c r="I58" s="7"/>
      <c r="J58" s="7"/>
      <c r="K58" s="8"/>
      <c r="L58" s="17" t="s">
        <v>14</v>
      </c>
      <c r="M58" s="6">
        <v>1</v>
      </c>
      <c r="N58" s="7"/>
      <c r="O58" s="7"/>
      <c r="P58" s="7"/>
      <c r="Q58" s="7"/>
      <c r="R58" s="8"/>
      <c r="U58" s="16"/>
      <c r="V58" s="16"/>
      <c r="W58" s="9" t="s">
        <v>12</v>
      </c>
      <c r="X58" s="10">
        <f>(X53+X54+X55)/3</f>
        <v>0</v>
      </c>
      <c r="Y58" s="10">
        <f t="shared" ref="Y58:AB58" si="60">(Y53+Y54+Y55)/3</f>
        <v>0</v>
      </c>
      <c r="Z58" s="10">
        <f t="shared" si="60"/>
        <v>0</v>
      </c>
      <c r="AA58" s="10">
        <f t="shared" si="60"/>
        <v>0</v>
      </c>
      <c r="AB58" s="10">
        <f t="shared" si="60"/>
        <v>0</v>
      </c>
      <c r="AC58" s="16"/>
      <c r="AD58" s="9" t="s">
        <v>12</v>
      </c>
      <c r="AE58" s="10">
        <f>(AE53+AE54+AE55)/3</f>
        <v>0</v>
      </c>
      <c r="AF58" s="10">
        <f t="shared" ref="AF58:AI58" si="61">(AF53+AF54+AF55)/3</f>
        <v>0</v>
      </c>
      <c r="AG58" s="10">
        <f t="shared" si="61"/>
        <v>0</v>
      </c>
      <c r="AH58" s="10">
        <f t="shared" si="61"/>
        <v>0</v>
      </c>
      <c r="AI58" s="10">
        <f t="shared" si="61"/>
        <v>0</v>
      </c>
    </row>
    <row r="59" spans="2:35" x14ac:dyDescent="0.2">
      <c r="B59" s="16"/>
      <c r="C59" s="16"/>
      <c r="D59" s="16"/>
      <c r="E59" s="16"/>
      <c r="F59" s="9">
        <v>2</v>
      </c>
      <c r="G59" s="10"/>
      <c r="H59" s="10"/>
      <c r="I59" s="10"/>
      <c r="J59" s="10"/>
      <c r="K59" s="11"/>
      <c r="L59" s="18"/>
      <c r="M59" s="9">
        <v>2</v>
      </c>
      <c r="N59" s="10"/>
      <c r="O59" s="10"/>
      <c r="P59" s="10"/>
      <c r="Q59" s="10"/>
      <c r="R59" s="11"/>
      <c r="U59" s="16"/>
      <c r="V59" s="16"/>
      <c r="W59" s="12" t="s">
        <v>13</v>
      </c>
      <c r="X59" s="13" t="e">
        <f>STDEV(X53:X57)</f>
        <v>#DIV/0!</v>
      </c>
      <c r="Y59" s="13" t="e">
        <f t="shared" ref="Y59:AB59" si="62">STDEV(Y53:Y57)</f>
        <v>#DIV/0!</v>
      </c>
      <c r="Z59" s="13" t="e">
        <f t="shared" si="62"/>
        <v>#DIV/0!</v>
      </c>
      <c r="AA59" s="13" t="e">
        <f t="shared" si="62"/>
        <v>#DIV/0!</v>
      </c>
      <c r="AB59" s="13" t="e">
        <f t="shared" si="62"/>
        <v>#DIV/0!</v>
      </c>
      <c r="AC59" s="16"/>
      <c r="AD59" s="12" t="s">
        <v>13</v>
      </c>
      <c r="AE59" s="13" t="e">
        <f>STDEV(AE53:AE57)</f>
        <v>#DIV/0!</v>
      </c>
      <c r="AF59" s="13" t="e">
        <f t="shared" ref="AF59:AI59" si="63">STDEV(AF53:AF57)</f>
        <v>#DIV/0!</v>
      </c>
      <c r="AG59" s="13" t="e">
        <f t="shared" si="63"/>
        <v>#DIV/0!</v>
      </c>
      <c r="AH59" s="13" t="e">
        <f t="shared" si="63"/>
        <v>#DIV/0!</v>
      </c>
      <c r="AI59" s="13" t="e">
        <f t="shared" si="63"/>
        <v>#DIV/0!</v>
      </c>
    </row>
    <row r="60" spans="2:35" ht="15" thickBot="1" x14ac:dyDescent="0.25">
      <c r="B60" s="16"/>
      <c r="C60" s="16"/>
      <c r="D60" s="16"/>
      <c r="E60" s="16"/>
      <c r="F60" s="9">
        <v>3</v>
      </c>
      <c r="G60" s="10"/>
      <c r="H60" s="10"/>
      <c r="I60" s="10"/>
      <c r="J60" s="10"/>
      <c r="K60" s="11"/>
      <c r="L60" s="18"/>
      <c r="M60" s="9">
        <v>3</v>
      </c>
      <c r="N60" s="10"/>
      <c r="O60" s="10"/>
      <c r="P60" s="10"/>
      <c r="Q60" s="10"/>
      <c r="R60" s="11"/>
    </row>
    <row r="61" spans="2:35" ht="15" x14ac:dyDescent="0.2">
      <c r="B61" s="16"/>
      <c r="C61" s="16"/>
      <c r="D61" s="16"/>
      <c r="E61" s="16"/>
      <c r="F61" s="9"/>
      <c r="G61" s="19"/>
      <c r="H61" s="19"/>
      <c r="I61" s="10"/>
      <c r="J61" s="10"/>
      <c r="K61" s="11"/>
      <c r="L61" s="18"/>
      <c r="M61" s="9"/>
      <c r="N61" s="19"/>
      <c r="O61" s="19"/>
      <c r="P61" s="10"/>
      <c r="Q61" s="10"/>
      <c r="R61" s="11"/>
      <c r="U61" s="2" t="s">
        <v>4</v>
      </c>
      <c r="V61" s="2" t="s">
        <v>5</v>
      </c>
      <c r="W61" s="2" t="s">
        <v>11</v>
      </c>
      <c r="X61" s="3" t="s">
        <v>0</v>
      </c>
      <c r="Y61" s="3" t="s">
        <v>31</v>
      </c>
      <c r="Z61" s="3" t="s">
        <v>1</v>
      </c>
      <c r="AA61" s="3" t="s">
        <v>2</v>
      </c>
      <c r="AB61" s="3" t="s">
        <v>3</v>
      </c>
      <c r="AC61" s="2" t="s">
        <v>5</v>
      </c>
      <c r="AD61" s="2" t="s">
        <v>11</v>
      </c>
      <c r="AE61" s="3" t="s">
        <v>0</v>
      </c>
      <c r="AF61" s="3" t="s">
        <v>31</v>
      </c>
      <c r="AG61" s="3" t="s">
        <v>1</v>
      </c>
      <c r="AH61" s="3" t="s">
        <v>2</v>
      </c>
      <c r="AI61" s="3" t="s">
        <v>3</v>
      </c>
    </row>
    <row r="62" spans="2:35" x14ac:dyDescent="0.2">
      <c r="B62" s="16"/>
      <c r="C62" s="16"/>
      <c r="D62" s="16"/>
      <c r="E62" s="16"/>
      <c r="F62" s="9"/>
      <c r="G62" s="19"/>
      <c r="H62" s="19"/>
      <c r="I62" s="10"/>
      <c r="J62" s="10"/>
      <c r="K62" s="11"/>
      <c r="L62" s="18"/>
      <c r="M62" s="9"/>
      <c r="N62" s="19"/>
      <c r="O62" s="19"/>
      <c r="P62" s="10"/>
      <c r="Q62" s="10"/>
      <c r="R62" s="11"/>
      <c r="T62" s="1" t="s">
        <v>27</v>
      </c>
      <c r="U62" s="15">
        <v>6</v>
      </c>
      <c r="V62" s="15" t="s">
        <v>9</v>
      </c>
      <c r="W62" s="6">
        <v>1</v>
      </c>
      <c r="X62" s="7"/>
      <c r="Y62" s="7"/>
      <c r="Z62" s="7"/>
      <c r="AA62" s="7"/>
      <c r="AB62" s="8"/>
      <c r="AC62" s="15" t="s">
        <v>8</v>
      </c>
      <c r="AD62" s="6">
        <v>1</v>
      </c>
      <c r="AE62" s="7"/>
      <c r="AF62" s="7"/>
      <c r="AG62" s="7"/>
      <c r="AH62" s="7"/>
      <c r="AI62" s="8"/>
    </row>
    <row r="63" spans="2:35" x14ac:dyDescent="0.2">
      <c r="B63" s="16"/>
      <c r="C63" s="16"/>
      <c r="D63" s="16"/>
      <c r="E63" s="16"/>
      <c r="F63" s="9" t="s">
        <v>12</v>
      </c>
      <c r="G63" s="10">
        <f>(G58+G59+G60)/3</f>
        <v>0</v>
      </c>
      <c r="H63" s="10">
        <f t="shared" ref="H63:K63" si="64">(H58+H59+H60)/3</f>
        <v>0</v>
      </c>
      <c r="I63" s="10">
        <f t="shared" si="64"/>
        <v>0</v>
      </c>
      <c r="J63" s="10">
        <f t="shared" si="64"/>
        <v>0</v>
      </c>
      <c r="K63" s="10">
        <f t="shared" si="64"/>
        <v>0</v>
      </c>
      <c r="L63" s="18"/>
      <c r="M63" s="9" t="s">
        <v>12</v>
      </c>
      <c r="N63" s="10">
        <f>(N58+N59+N60)/3</f>
        <v>0</v>
      </c>
      <c r="O63" s="10">
        <f t="shared" ref="O63:R63" si="65">(O58+O59+O60)/3</f>
        <v>0</v>
      </c>
      <c r="P63" s="10">
        <f t="shared" si="65"/>
        <v>0</v>
      </c>
      <c r="Q63" s="10">
        <f t="shared" si="65"/>
        <v>0</v>
      </c>
      <c r="R63" s="10">
        <f t="shared" si="65"/>
        <v>0</v>
      </c>
      <c r="U63" s="16"/>
      <c r="V63" s="16"/>
      <c r="W63" s="9">
        <v>2</v>
      </c>
      <c r="X63" s="10"/>
      <c r="Y63" s="10"/>
      <c r="Z63" s="10"/>
      <c r="AA63" s="10"/>
      <c r="AB63" s="11"/>
      <c r="AC63" s="16"/>
      <c r="AD63" s="9">
        <v>2</v>
      </c>
      <c r="AE63" s="10"/>
      <c r="AF63" s="10"/>
      <c r="AG63" s="10"/>
      <c r="AH63" s="10"/>
      <c r="AI63" s="11"/>
    </row>
    <row r="64" spans="2:35" x14ac:dyDescent="0.2">
      <c r="B64" s="16"/>
      <c r="C64" s="16"/>
      <c r="D64" s="16"/>
      <c r="E64" s="16"/>
      <c r="F64" s="12" t="s">
        <v>13</v>
      </c>
      <c r="G64" s="13" t="e">
        <f>STDEV(G58:G62)</f>
        <v>#DIV/0!</v>
      </c>
      <c r="H64" s="13" t="e">
        <f t="shared" ref="H64:K64" si="66">STDEV(H58:H62)</f>
        <v>#DIV/0!</v>
      </c>
      <c r="I64" s="13" t="e">
        <f t="shared" si="66"/>
        <v>#DIV/0!</v>
      </c>
      <c r="J64" s="13" t="e">
        <f t="shared" si="66"/>
        <v>#DIV/0!</v>
      </c>
      <c r="K64" s="13" t="e">
        <f t="shared" si="66"/>
        <v>#DIV/0!</v>
      </c>
      <c r="L64" s="20"/>
      <c r="M64" s="12" t="s">
        <v>13</v>
      </c>
      <c r="N64" s="13" t="e">
        <f>STDEV(N58:N62)</f>
        <v>#DIV/0!</v>
      </c>
      <c r="O64" s="13" t="e">
        <f t="shared" ref="O64:R64" si="67">STDEV(O58:O62)</f>
        <v>#DIV/0!</v>
      </c>
      <c r="P64" s="13" t="e">
        <f t="shared" si="67"/>
        <v>#DIV/0!</v>
      </c>
      <c r="Q64" s="13" t="e">
        <f t="shared" si="67"/>
        <v>#DIV/0!</v>
      </c>
      <c r="R64" s="13" t="e">
        <f t="shared" si="67"/>
        <v>#DIV/0!</v>
      </c>
      <c r="U64" s="16"/>
      <c r="V64" s="16"/>
      <c r="W64" s="9">
        <v>3</v>
      </c>
      <c r="X64" s="10"/>
      <c r="Y64" s="10"/>
      <c r="Z64" s="10"/>
      <c r="AA64" s="10"/>
      <c r="AB64" s="11"/>
      <c r="AC64" s="16"/>
      <c r="AD64" s="9">
        <v>3</v>
      </c>
      <c r="AE64" s="10"/>
      <c r="AF64" s="10"/>
      <c r="AG64" s="10"/>
      <c r="AH64" s="10"/>
      <c r="AI64" s="11"/>
    </row>
    <row r="65" spans="2:35" x14ac:dyDescent="0.2">
      <c r="B65" s="16"/>
      <c r="C65" s="16"/>
      <c r="D65" s="21" t="s">
        <v>19</v>
      </c>
      <c r="E65" s="15" t="s">
        <v>9</v>
      </c>
      <c r="F65" s="6">
        <v>1</v>
      </c>
      <c r="G65" s="7"/>
      <c r="H65" s="7"/>
      <c r="I65" s="7"/>
      <c r="J65" s="7"/>
      <c r="K65" s="8"/>
      <c r="L65" s="17" t="s">
        <v>14</v>
      </c>
      <c r="M65" s="6">
        <v>1</v>
      </c>
      <c r="N65" s="7"/>
      <c r="O65" s="7"/>
      <c r="P65" s="7"/>
      <c r="Q65" s="7"/>
      <c r="R65" s="8"/>
      <c r="U65" s="16"/>
      <c r="V65" s="16"/>
      <c r="W65" s="9"/>
      <c r="X65" s="19"/>
      <c r="Y65" s="19"/>
      <c r="Z65" s="10"/>
      <c r="AA65" s="10"/>
      <c r="AB65" s="11"/>
      <c r="AC65" s="16"/>
      <c r="AD65" s="9"/>
      <c r="AE65" s="19"/>
      <c r="AF65" s="19"/>
      <c r="AG65" s="10"/>
      <c r="AH65" s="10"/>
      <c r="AI65" s="11"/>
    </row>
    <row r="66" spans="2:35" x14ac:dyDescent="0.2">
      <c r="B66" s="16"/>
      <c r="C66" s="16"/>
      <c r="D66" s="16"/>
      <c r="E66" s="16"/>
      <c r="F66" s="9">
        <v>2</v>
      </c>
      <c r="G66" s="10"/>
      <c r="H66" s="10"/>
      <c r="I66" s="10"/>
      <c r="J66" s="10"/>
      <c r="K66" s="11"/>
      <c r="L66" s="18"/>
      <c r="M66" s="9">
        <v>2</v>
      </c>
      <c r="N66" s="10"/>
      <c r="O66" s="10"/>
      <c r="P66" s="10"/>
      <c r="Q66" s="10"/>
      <c r="R66" s="11"/>
      <c r="U66" s="16"/>
      <c r="V66" s="16"/>
      <c r="W66" s="9"/>
      <c r="X66" s="19"/>
      <c r="Y66" s="19"/>
      <c r="Z66" s="10"/>
      <c r="AA66" s="10"/>
      <c r="AB66" s="11"/>
      <c r="AC66" s="16"/>
      <c r="AD66" s="9"/>
      <c r="AE66" s="19"/>
      <c r="AF66" s="19"/>
      <c r="AG66" s="10"/>
      <c r="AH66" s="10"/>
      <c r="AI66" s="11"/>
    </row>
    <row r="67" spans="2:35" x14ac:dyDescent="0.2">
      <c r="B67" s="16"/>
      <c r="C67" s="16"/>
      <c r="D67" s="16"/>
      <c r="E67" s="16"/>
      <c r="F67" s="9">
        <v>3</v>
      </c>
      <c r="G67" s="10"/>
      <c r="H67" s="10"/>
      <c r="I67" s="10"/>
      <c r="J67" s="10"/>
      <c r="K67" s="11"/>
      <c r="L67" s="18"/>
      <c r="M67" s="9">
        <v>3</v>
      </c>
      <c r="N67" s="10"/>
      <c r="O67" s="10"/>
      <c r="P67" s="10"/>
      <c r="Q67" s="10"/>
      <c r="R67" s="11"/>
      <c r="U67" s="16"/>
      <c r="V67" s="16"/>
      <c r="W67" s="9" t="s">
        <v>12</v>
      </c>
      <c r="X67" s="10">
        <f>(X62+X63+X64)/3</f>
        <v>0</v>
      </c>
      <c r="Y67" s="10">
        <f t="shared" ref="Y67:AB67" si="68">(Y62+Y63+Y64)/3</f>
        <v>0</v>
      </c>
      <c r="Z67" s="10">
        <f t="shared" si="68"/>
        <v>0</v>
      </c>
      <c r="AA67" s="10">
        <f t="shared" si="68"/>
        <v>0</v>
      </c>
      <c r="AB67" s="10">
        <f t="shared" si="68"/>
        <v>0</v>
      </c>
      <c r="AC67" s="16"/>
      <c r="AD67" s="9" t="s">
        <v>12</v>
      </c>
      <c r="AE67" s="10">
        <f>(AE62+AE63+AE64)/3</f>
        <v>0</v>
      </c>
      <c r="AF67" s="10">
        <f t="shared" ref="AF67:AI67" si="69">(AF62+AF63+AF64)/3</f>
        <v>0</v>
      </c>
      <c r="AG67" s="10">
        <f t="shared" si="69"/>
        <v>0</v>
      </c>
      <c r="AH67" s="10">
        <f t="shared" si="69"/>
        <v>0</v>
      </c>
      <c r="AI67" s="10">
        <f t="shared" si="69"/>
        <v>0</v>
      </c>
    </row>
    <row r="68" spans="2:35" x14ac:dyDescent="0.2">
      <c r="B68" s="16"/>
      <c r="C68" s="16"/>
      <c r="D68" s="16"/>
      <c r="E68" s="16"/>
      <c r="F68" s="9"/>
      <c r="G68" s="19"/>
      <c r="H68" s="19"/>
      <c r="I68" s="10"/>
      <c r="J68" s="10"/>
      <c r="K68" s="11"/>
      <c r="L68" s="18"/>
      <c r="M68" s="9"/>
      <c r="N68" s="19"/>
      <c r="O68" s="19"/>
      <c r="P68" s="10"/>
      <c r="Q68" s="10"/>
      <c r="R68" s="11"/>
      <c r="U68" s="16"/>
      <c r="V68" s="16"/>
      <c r="W68" s="12" t="s">
        <v>13</v>
      </c>
      <c r="X68" s="13" t="e">
        <f>STDEV(X62:X66)</f>
        <v>#DIV/0!</v>
      </c>
      <c r="Y68" s="13" t="e">
        <f t="shared" ref="Y68:AB68" si="70">STDEV(Y62:Y66)</f>
        <v>#DIV/0!</v>
      </c>
      <c r="Z68" s="13" t="e">
        <f t="shared" si="70"/>
        <v>#DIV/0!</v>
      </c>
      <c r="AA68" s="13" t="e">
        <f t="shared" si="70"/>
        <v>#DIV/0!</v>
      </c>
      <c r="AB68" s="13" t="e">
        <f t="shared" si="70"/>
        <v>#DIV/0!</v>
      </c>
      <c r="AC68" s="16"/>
      <c r="AD68" s="12" t="s">
        <v>13</v>
      </c>
      <c r="AE68" s="13" t="e">
        <f>STDEV(AE62:AE66)</f>
        <v>#DIV/0!</v>
      </c>
      <c r="AF68" s="13" t="e">
        <f t="shared" ref="AF68:AI68" si="71">STDEV(AF62:AF66)</f>
        <v>#DIV/0!</v>
      </c>
      <c r="AG68" s="13" t="e">
        <f t="shared" si="71"/>
        <v>#DIV/0!</v>
      </c>
      <c r="AH68" s="13" t="e">
        <f t="shared" si="71"/>
        <v>#DIV/0!</v>
      </c>
      <c r="AI68" s="13" t="e">
        <f t="shared" si="71"/>
        <v>#DIV/0!</v>
      </c>
    </row>
    <row r="69" spans="2:35" x14ac:dyDescent="0.2">
      <c r="B69" s="16"/>
      <c r="C69" s="16"/>
      <c r="D69" s="16"/>
      <c r="E69" s="16"/>
      <c r="F69" s="9"/>
      <c r="G69" s="19"/>
      <c r="H69" s="19"/>
      <c r="I69" s="10"/>
      <c r="J69" s="10"/>
      <c r="K69" s="11"/>
      <c r="L69" s="18"/>
      <c r="M69" s="9"/>
      <c r="N69" s="19"/>
      <c r="O69" s="19"/>
      <c r="P69" s="10"/>
      <c r="Q69" s="10"/>
      <c r="R69" s="11"/>
      <c r="U69" s="15">
        <v>12</v>
      </c>
      <c r="V69" s="15" t="s">
        <v>9</v>
      </c>
      <c r="W69" s="6">
        <v>1</v>
      </c>
      <c r="X69" s="7"/>
      <c r="Y69" s="7"/>
      <c r="Z69" s="7"/>
      <c r="AA69" s="7"/>
      <c r="AB69" s="8"/>
      <c r="AC69" s="15" t="s">
        <v>8</v>
      </c>
      <c r="AD69" s="6">
        <v>1</v>
      </c>
      <c r="AE69" s="7"/>
      <c r="AF69" s="7"/>
      <c r="AG69" s="7"/>
      <c r="AH69" s="7"/>
      <c r="AI69" s="8"/>
    </row>
    <row r="70" spans="2:35" x14ac:dyDescent="0.2">
      <c r="B70" s="16"/>
      <c r="C70" s="16"/>
      <c r="D70" s="16"/>
      <c r="E70" s="16"/>
      <c r="F70" s="9" t="s">
        <v>12</v>
      </c>
      <c r="G70" s="10">
        <f>(G65+G66+G67)/3</f>
        <v>0</v>
      </c>
      <c r="H70" s="10">
        <f t="shared" ref="H70:K70" si="72">(H65+H66+H67)/3</f>
        <v>0</v>
      </c>
      <c r="I70" s="10">
        <f t="shared" si="72"/>
        <v>0</v>
      </c>
      <c r="J70" s="10">
        <f t="shared" si="72"/>
        <v>0</v>
      </c>
      <c r="K70" s="10">
        <f t="shared" si="72"/>
        <v>0</v>
      </c>
      <c r="L70" s="18"/>
      <c r="M70" s="9" t="s">
        <v>12</v>
      </c>
      <c r="N70" s="10">
        <f>(N65+N66+N67)/3</f>
        <v>0</v>
      </c>
      <c r="O70" s="10">
        <f t="shared" ref="O70:R70" si="73">(O65+O66+O67)/3</f>
        <v>0</v>
      </c>
      <c r="P70" s="10">
        <f t="shared" si="73"/>
        <v>0</v>
      </c>
      <c r="Q70" s="10">
        <f t="shared" si="73"/>
        <v>0</v>
      </c>
      <c r="R70" s="10">
        <f t="shared" si="73"/>
        <v>0</v>
      </c>
      <c r="U70" s="16"/>
      <c r="V70" s="16"/>
      <c r="W70" s="9">
        <v>2</v>
      </c>
      <c r="X70" s="10"/>
      <c r="Y70" s="10"/>
      <c r="Z70" s="10"/>
      <c r="AA70" s="10"/>
      <c r="AB70" s="11"/>
      <c r="AC70" s="16"/>
      <c r="AD70" s="9">
        <v>2</v>
      </c>
      <c r="AE70" s="10"/>
      <c r="AF70" s="10"/>
      <c r="AG70" s="10"/>
      <c r="AH70" s="10"/>
      <c r="AI70" s="11"/>
    </row>
    <row r="71" spans="2:35" x14ac:dyDescent="0.2">
      <c r="B71" s="16"/>
      <c r="C71" s="16"/>
      <c r="D71" s="16"/>
      <c r="E71" s="16"/>
      <c r="F71" s="12" t="s">
        <v>13</v>
      </c>
      <c r="G71" s="13" t="e">
        <f>STDEV(G65:G69)</f>
        <v>#DIV/0!</v>
      </c>
      <c r="H71" s="13" t="e">
        <f t="shared" ref="H71:K71" si="74">STDEV(H65:H69)</f>
        <v>#DIV/0!</v>
      </c>
      <c r="I71" s="13" t="e">
        <f t="shared" si="74"/>
        <v>#DIV/0!</v>
      </c>
      <c r="J71" s="13" t="e">
        <f t="shared" si="74"/>
        <v>#DIV/0!</v>
      </c>
      <c r="K71" s="13" t="e">
        <f t="shared" si="74"/>
        <v>#DIV/0!</v>
      </c>
      <c r="L71" s="20"/>
      <c r="M71" s="12" t="s">
        <v>13</v>
      </c>
      <c r="N71" s="13" t="e">
        <f>STDEV(N65:N69)</f>
        <v>#DIV/0!</v>
      </c>
      <c r="O71" s="13" t="e">
        <f t="shared" ref="O71:R71" si="75">STDEV(O65:O69)</f>
        <v>#DIV/0!</v>
      </c>
      <c r="P71" s="13" t="e">
        <f t="shared" si="75"/>
        <v>#DIV/0!</v>
      </c>
      <c r="Q71" s="13" t="e">
        <f t="shared" si="75"/>
        <v>#DIV/0!</v>
      </c>
      <c r="R71" s="13" t="e">
        <f t="shared" si="75"/>
        <v>#DIV/0!</v>
      </c>
      <c r="U71" s="16"/>
      <c r="V71" s="16"/>
      <c r="W71" s="9">
        <v>3</v>
      </c>
      <c r="X71" s="10"/>
      <c r="Y71" s="10"/>
      <c r="Z71" s="10"/>
      <c r="AA71" s="10"/>
      <c r="AB71" s="11"/>
      <c r="AC71" s="16"/>
      <c r="AD71" s="9">
        <v>3</v>
      </c>
      <c r="AE71" s="10"/>
      <c r="AF71" s="10"/>
      <c r="AG71" s="10"/>
      <c r="AH71" s="10"/>
      <c r="AI71" s="11"/>
    </row>
    <row r="72" spans="2:35" x14ac:dyDescent="0.2">
      <c r="C72" s="17">
        <v>14</v>
      </c>
      <c r="D72" s="15" t="s">
        <v>15</v>
      </c>
      <c r="E72" s="15" t="s">
        <v>9</v>
      </c>
      <c r="F72" s="6">
        <v>1</v>
      </c>
      <c r="G72" s="4">
        <v>38.015880584716797</v>
      </c>
      <c r="H72" s="4">
        <v>0.236939758062362</v>
      </c>
      <c r="I72" s="4">
        <v>2412.12573242187</v>
      </c>
      <c r="J72" s="4">
        <v>49.113396669563301</v>
      </c>
      <c r="K72" s="4">
        <v>0.96833819150924605</v>
      </c>
      <c r="L72" s="17" t="s">
        <v>14</v>
      </c>
      <c r="M72" s="6">
        <v>1</v>
      </c>
      <c r="N72" s="7"/>
      <c r="O72" s="7"/>
      <c r="P72" s="7"/>
      <c r="Q72" s="7"/>
      <c r="R72" s="8"/>
      <c r="U72" s="16"/>
      <c r="V72" s="16"/>
      <c r="W72" s="9"/>
      <c r="X72" s="19"/>
      <c r="Y72" s="19"/>
      <c r="Z72" s="10"/>
      <c r="AA72" s="10"/>
      <c r="AB72" s="11"/>
      <c r="AC72" s="16"/>
      <c r="AD72" s="9"/>
      <c r="AE72" s="19"/>
      <c r="AF72" s="19"/>
      <c r="AG72" s="10"/>
      <c r="AH72" s="10"/>
      <c r="AI72" s="11"/>
    </row>
    <row r="73" spans="2:35" x14ac:dyDescent="0.2">
      <c r="C73" s="18"/>
      <c r="D73" s="16"/>
      <c r="E73" s="16"/>
      <c r="F73" s="9">
        <v>2</v>
      </c>
      <c r="G73" s="4">
        <v>36.726161956787102</v>
      </c>
      <c r="H73" s="4">
        <v>0.246039077639579</v>
      </c>
      <c r="I73" s="4">
        <v>2255.16015625</v>
      </c>
      <c r="J73" s="4">
        <v>47.488526574847498</v>
      </c>
      <c r="K73" s="4">
        <v>0.97039854526519698</v>
      </c>
      <c r="L73" s="18"/>
      <c r="M73" s="9">
        <v>2</v>
      </c>
      <c r="N73" s="10"/>
      <c r="O73" s="10"/>
      <c r="P73" s="10"/>
      <c r="Q73" s="10"/>
      <c r="R73" s="11"/>
      <c r="U73" s="16"/>
      <c r="V73" s="16"/>
      <c r="W73" s="9"/>
      <c r="X73" s="19"/>
      <c r="Y73" s="19"/>
      <c r="Z73" s="10"/>
      <c r="AA73" s="10"/>
      <c r="AB73" s="11"/>
      <c r="AC73" s="16"/>
      <c r="AD73" s="9"/>
      <c r="AE73" s="19"/>
      <c r="AF73" s="19"/>
      <c r="AG73" s="10"/>
      <c r="AH73" s="10"/>
      <c r="AI73" s="11"/>
    </row>
    <row r="74" spans="2:35" x14ac:dyDescent="0.2">
      <c r="C74" s="18"/>
      <c r="D74" s="16"/>
      <c r="E74" s="16"/>
      <c r="F74" s="9">
        <v>3</v>
      </c>
      <c r="G74" s="4">
        <v>38.382411956787102</v>
      </c>
      <c r="H74" s="4">
        <v>0.206770360469818</v>
      </c>
      <c r="I74" s="4">
        <v>2620.95483398437</v>
      </c>
      <c r="J74" s="4">
        <v>51.195261831388002</v>
      </c>
      <c r="K74" s="4">
        <v>0.96559703350067105</v>
      </c>
      <c r="L74" s="18"/>
      <c r="M74" s="9">
        <v>3</v>
      </c>
      <c r="N74" s="10"/>
      <c r="O74" s="10"/>
      <c r="P74" s="10"/>
      <c r="Q74" s="10"/>
      <c r="R74" s="11"/>
      <c r="U74" s="16"/>
      <c r="V74" s="16"/>
      <c r="W74" s="9" t="s">
        <v>12</v>
      </c>
      <c r="X74" s="10">
        <f>(X69+X70+X71)/3</f>
        <v>0</v>
      </c>
      <c r="Y74" s="10">
        <f t="shared" ref="Y74:AB74" si="76">(Y69+Y70+Y71)/3</f>
        <v>0</v>
      </c>
      <c r="Z74" s="10">
        <f t="shared" si="76"/>
        <v>0</v>
      </c>
      <c r="AA74" s="10">
        <f t="shared" si="76"/>
        <v>0</v>
      </c>
      <c r="AB74" s="10">
        <f t="shared" si="76"/>
        <v>0</v>
      </c>
      <c r="AC74" s="16"/>
      <c r="AD74" s="9" t="s">
        <v>12</v>
      </c>
      <c r="AE74" s="10">
        <f>(AE69+AE70+AE71)/3</f>
        <v>0</v>
      </c>
      <c r="AF74" s="10">
        <f t="shared" ref="AF74:AI74" si="77">(AF69+AF70+AF71)/3</f>
        <v>0</v>
      </c>
      <c r="AG74" s="10">
        <f t="shared" si="77"/>
        <v>0</v>
      </c>
      <c r="AH74" s="10">
        <f t="shared" si="77"/>
        <v>0</v>
      </c>
      <c r="AI74" s="10">
        <f t="shared" si="77"/>
        <v>0</v>
      </c>
    </row>
    <row r="75" spans="2:35" x14ac:dyDescent="0.2">
      <c r="C75" s="18"/>
      <c r="D75" s="16"/>
      <c r="E75" s="16"/>
      <c r="F75" s="9"/>
      <c r="G75" s="19"/>
      <c r="H75" s="19"/>
      <c r="I75" s="10"/>
      <c r="J75" s="10"/>
      <c r="K75" s="11"/>
      <c r="L75" s="18"/>
      <c r="M75" s="9"/>
      <c r="N75" s="19"/>
      <c r="O75" s="19"/>
      <c r="P75" s="10"/>
      <c r="Q75" s="10"/>
      <c r="R75" s="11"/>
      <c r="U75" s="16"/>
      <c r="V75" s="16"/>
      <c r="W75" s="12" t="s">
        <v>13</v>
      </c>
      <c r="X75" s="13" t="e">
        <f>STDEV(X69:X73)</f>
        <v>#DIV/0!</v>
      </c>
      <c r="Y75" s="13" t="e">
        <f t="shared" ref="Y75:AB75" si="78">STDEV(Y69:Y73)</f>
        <v>#DIV/0!</v>
      </c>
      <c r="Z75" s="13" t="e">
        <f t="shared" si="78"/>
        <v>#DIV/0!</v>
      </c>
      <c r="AA75" s="13" t="e">
        <f t="shared" si="78"/>
        <v>#DIV/0!</v>
      </c>
      <c r="AB75" s="13" t="e">
        <f t="shared" si="78"/>
        <v>#DIV/0!</v>
      </c>
      <c r="AC75" s="16"/>
      <c r="AD75" s="12" t="s">
        <v>13</v>
      </c>
      <c r="AE75" s="13" t="e">
        <f>STDEV(AE69:AE73)</f>
        <v>#DIV/0!</v>
      </c>
      <c r="AF75" s="13" t="e">
        <f t="shared" ref="AF75:AI75" si="79">STDEV(AF69:AF73)</f>
        <v>#DIV/0!</v>
      </c>
      <c r="AG75" s="13" t="e">
        <f t="shared" si="79"/>
        <v>#DIV/0!</v>
      </c>
      <c r="AH75" s="13" t="e">
        <f t="shared" si="79"/>
        <v>#DIV/0!</v>
      </c>
      <c r="AI75" s="13" t="e">
        <f t="shared" si="79"/>
        <v>#DIV/0!</v>
      </c>
    </row>
    <row r="76" spans="2:35" x14ac:dyDescent="0.2">
      <c r="C76" s="18"/>
      <c r="D76" s="16"/>
      <c r="E76" s="16"/>
      <c r="F76" s="9"/>
      <c r="G76" s="19"/>
      <c r="H76" s="19"/>
      <c r="I76" s="10"/>
      <c r="J76" s="10"/>
      <c r="K76" s="11"/>
      <c r="L76" s="18"/>
      <c r="M76" s="9"/>
      <c r="N76" s="19"/>
      <c r="O76" s="19"/>
      <c r="P76" s="10"/>
      <c r="Q76" s="10"/>
      <c r="R76" s="11"/>
      <c r="U76" s="15">
        <v>14</v>
      </c>
      <c r="V76" s="15" t="s">
        <v>9</v>
      </c>
      <c r="W76" s="6">
        <v>1</v>
      </c>
      <c r="X76" s="7"/>
      <c r="Y76" s="7"/>
      <c r="Z76" s="7"/>
      <c r="AA76" s="7"/>
      <c r="AB76" s="8"/>
      <c r="AC76" s="15" t="s">
        <v>8</v>
      </c>
      <c r="AD76" s="6">
        <v>1</v>
      </c>
      <c r="AE76" s="7"/>
      <c r="AF76" s="7"/>
      <c r="AG76" s="7"/>
      <c r="AH76" s="7"/>
      <c r="AI76" s="8"/>
    </row>
    <row r="77" spans="2:35" x14ac:dyDescent="0.2">
      <c r="C77" s="18"/>
      <c r="D77" s="16"/>
      <c r="E77" s="16"/>
      <c r="F77" s="9" t="s">
        <v>12</v>
      </c>
      <c r="G77" s="10">
        <f>(G72+G73+G74)/3</f>
        <v>37.708151499430336</v>
      </c>
      <c r="H77" s="10">
        <f t="shared" ref="H77:K77" si="80">(H72+H73+H74)/3</f>
        <v>0.22991639872391967</v>
      </c>
      <c r="I77" s="10">
        <f t="shared" si="80"/>
        <v>2429.4135742187464</v>
      </c>
      <c r="J77" s="10">
        <f t="shared" si="80"/>
        <v>49.265728358599603</v>
      </c>
      <c r="K77" s="10">
        <f t="shared" si="80"/>
        <v>0.9681112567583714</v>
      </c>
      <c r="L77" s="18"/>
      <c r="M77" s="9" t="s">
        <v>12</v>
      </c>
      <c r="N77" s="10">
        <f>(N72+N73+N74)/3</f>
        <v>0</v>
      </c>
      <c r="O77" s="10">
        <f t="shared" ref="O77:R77" si="81">(O72+O73+O74)/3</f>
        <v>0</v>
      </c>
      <c r="P77" s="10">
        <f t="shared" si="81"/>
        <v>0</v>
      </c>
      <c r="Q77" s="10">
        <f t="shared" si="81"/>
        <v>0</v>
      </c>
      <c r="R77" s="11">
        <f t="shared" si="81"/>
        <v>0</v>
      </c>
      <c r="U77" s="16"/>
      <c r="V77" s="16"/>
      <c r="W77" s="9">
        <v>2</v>
      </c>
      <c r="X77" s="10"/>
      <c r="Y77" s="10"/>
      <c r="Z77" s="10"/>
      <c r="AA77" s="10"/>
      <c r="AB77" s="11"/>
      <c r="AC77" s="16"/>
      <c r="AD77" s="9">
        <v>2</v>
      </c>
      <c r="AE77" s="10"/>
      <c r="AF77" s="10"/>
      <c r="AG77" s="10"/>
      <c r="AH77" s="10"/>
      <c r="AI77" s="11"/>
    </row>
    <row r="78" spans="2:35" x14ac:dyDescent="0.2">
      <c r="C78" s="18"/>
      <c r="D78" s="16"/>
      <c r="E78" s="16"/>
      <c r="F78" s="12" t="s">
        <v>13</v>
      </c>
      <c r="G78" s="13">
        <f>STDEV(G72:G76)</f>
        <v>0.86995052047425803</v>
      </c>
      <c r="H78" s="13">
        <f t="shared" ref="H78:K78" si="82">STDEV(H72:H76)</f>
        <v>2.0554895264567375E-2</v>
      </c>
      <c r="I78" s="13">
        <f t="shared" si="82"/>
        <v>183.50909696849712</v>
      </c>
      <c r="J78" s="13">
        <f t="shared" si="82"/>
        <v>1.8580568541176528</v>
      </c>
      <c r="K78" s="13">
        <f t="shared" si="82"/>
        <v>2.4087866950160053E-3</v>
      </c>
      <c r="L78" s="20"/>
      <c r="M78" s="12" t="s">
        <v>13</v>
      </c>
      <c r="N78" s="13" t="e">
        <f>STDEV(N72:N76)</f>
        <v>#DIV/0!</v>
      </c>
      <c r="O78" s="13" t="e">
        <f t="shared" ref="O78:R78" si="83">STDEV(O72:O76)</f>
        <v>#DIV/0!</v>
      </c>
      <c r="P78" s="13" t="e">
        <f t="shared" si="83"/>
        <v>#DIV/0!</v>
      </c>
      <c r="Q78" s="13" t="e">
        <f t="shared" si="83"/>
        <v>#DIV/0!</v>
      </c>
      <c r="R78" s="14" t="e">
        <f t="shared" si="83"/>
        <v>#DIV/0!</v>
      </c>
      <c r="U78" s="16"/>
      <c r="V78" s="16"/>
      <c r="W78" s="9">
        <v>3</v>
      </c>
      <c r="X78" s="10"/>
      <c r="Y78" s="10"/>
      <c r="Z78" s="10"/>
      <c r="AA78" s="10"/>
      <c r="AB78" s="11"/>
      <c r="AC78" s="16"/>
      <c r="AD78" s="9">
        <v>3</v>
      </c>
      <c r="AE78" s="10"/>
      <c r="AF78" s="10"/>
      <c r="AG78" s="10"/>
      <c r="AH78" s="10"/>
      <c r="AI78" s="11"/>
    </row>
    <row r="79" spans="2:35" x14ac:dyDescent="0.2">
      <c r="C79" s="18"/>
      <c r="D79" s="15" t="s">
        <v>16</v>
      </c>
      <c r="E79" s="15" t="s">
        <v>9</v>
      </c>
      <c r="F79" s="6">
        <v>1</v>
      </c>
      <c r="G79" s="7"/>
      <c r="H79" s="7"/>
      <c r="I79" s="7"/>
      <c r="J79" s="7"/>
      <c r="K79" s="8"/>
      <c r="L79" s="17" t="s">
        <v>14</v>
      </c>
      <c r="M79" s="6">
        <v>1</v>
      </c>
      <c r="N79" s="7"/>
      <c r="O79" s="7"/>
      <c r="P79" s="7"/>
      <c r="Q79" s="7"/>
      <c r="R79" s="8"/>
      <c r="U79" s="16"/>
      <c r="V79" s="16"/>
      <c r="W79" s="9"/>
      <c r="X79" s="19"/>
      <c r="Y79" s="19"/>
      <c r="Z79" s="10"/>
      <c r="AA79" s="10"/>
      <c r="AB79" s="11"/>
      <c r="AC79" s="16"/>
      <c r="AD79" s="9"/>
      <c r="AE79" s="19"/>
      <c r="AF79" s="19"/>
      <c r="AG79" s="10"/>
      <c r="AH79" s="10"/>
      <c r="AI79" s="11"/>
    </row>
    <row r="80" spans="2:35" x14ac:dyDescent="0.2">
      <c r="C80" s="18"/>
      <c r="D80" s="16"/>
      <c r="E80" s="16"/>
      <c r="F80" s="9">
        <v>2</v>
      </c>
      <c r="G80" s="10"/>
      <c r="H80" s="10"/>
      <c r="I80" s="10"/>
      <c r="J80" s="10"/>
      <c r="K80" s="11"/>
      <c r="L80" s="18"/>
      <c r="M80" s="9">
        <v>2</v>
      </c>
      <c r="N80" s="10"/>
      <c r="O80" s="10"/>
      <c r="P80" s="10"/>
      <c r="Q80" s="10"/>
      <c r="R80" s="11"/>
      <c r="U80" s="16"/>
      <c r="V80" s="16"/>
      <c r="W80" s="9"/>
      <c r="X80" s="19"/>
      <c r="Y80" s="19"/>
      <c r="Z80" s="10"/>
      <c r="AA80" s="10"/>
      <c r="AB80" s="11"/>
      <c r="AC80" s="16"/>
      <c r="AD80" s="9"/>
      <c r="AE80" s="19"/>
      <c r="AF80" s="19"/>
      <c r="AG80" s="10"/>
      <c r="AH80" s="10"/>
      <c r="AI80" s="11"/>
    </row>
    <row r="81" spans="3:35" x14ac:dyDescent="0.2">
      <c r="C81" s="18"/>
      <c r="D81" s="16"/>
      <c r="E81" s="16"/>
      <c r="F81" s="9">
        <v>3</v>
      </c>
      <c r="G81" s="10"/>
      <c r="H81" s="10"/>
      <c r="I81" s="10"/>
      <c r="J81" s="10"/>
      <c r="K81" s="11"/>
      <c r="L81" s="18"/>
      <c r="M81" s="9">
        <v>3</v>
      </c>
      <c r="N81" s="10"/>
      <c r="O81" s="10"/>
      <c r="P81" s="10"/>
      <c r="Q81" s="10"/>
      <c r="R81" s="11"/>
      <c r="U81" s="16"/>
      <c r="V81" s="16"/>
      <c r="W81" s="9" t="s">
        <v>12</v>
      </c>
      <c r="X81" s="10">
        <f>(X76+X77+X78)/3</f>
        <v>0</v>
      </c>
      <c r="Y81" s="10">
        <f t="shared" ref="Y81:AB81" si="84">(Y76+Y77+Y78)/3</f>
        <v>0</v>
      </c>
      <c r="Z81" s="10">
        <f t="shared" si="84"/>
        <v>0</v>
      </c>
      <c r="AA81" s="10">
        <f t="shared" si="84"/>
        <v>0</v>
      </c>
      <c r="AB81" s="10">
        <f t="shared" si="84"/>
        <v>0</v>
      </c>
      <c r="AC81" s="16"/>
      <c r="AD81" s="9" t="s">
        <v>12</v>
      </c>
      <c r="AE81" s="10">
        <f>(AE76+AE77+AE78)/3</f>
        <v>0</v>
      </c>
      <c r="AF81" s="10">
        <f t="shared" ref="AF81:AI81" si="85">(AF76+AF77+AF78)/3</f>
        <v>0</v>
      </c>
      <c r="AG81" s="10">
        <f t="shared" si="85"/>
        <v>0</v>
      </c>
      <c r="AH81" s="10">
        <f t="shared" si="85"/>
        <v>0</v>
      </c>
      <c r="AI81" s="10">
        <f t="shared" si="85"/>
        <v>0</v>
      </c>
    </row>
    <row r="82" spans="3:35" x14ac:dyDescent="0.2">
      <c r="C82" s="18"/>
      <c r="D82" s="16"/>
      <c r="E82" s="16"/>
      <c r="F82" s="9"/>
      <c r="G82" s="19"/>
      <c r="H82" s="19"/>
      <c r="I82" s="10"/>
      <c r="J82" s="10"/>
      <c r="K82" s="11"/>
      <c r="L82" s="18"/>
      <c r="M82" s="9"/>
      <c r="N82" s="19"/>
      <c r="O82" s="19"/>
      <c r="P82" s="10"/>
      <c r="Q82" s="10"/>
      <c r="R82" s="11"/>
      <c r="U82" s="16"/>
      <c r="V82" s="16"/>
      <c r="W82" s="12" t="s">
        <v>13</v>
      </c>
      <c r="X82" s="13" t="e">
        <f>STDEV(X76:X80)</f>
        <v>#DIV/0!</v>
      </c>
      <c r="Y82" s="13" t="e">
        <f t="shared" ref="Y82:AB82" si="86">STDEV(Y76:Y80)</f>
        <v>#DIV/0!</v>
      </c>
      <c r="Z82" s="13" t="e">
        <f t="shared" si="86"/>
        <v>#DIV/0!</v>
      </c>
      <c r="AA82" s="13" t="e">
        <f t="shared" si="86"/>
        <v>#DIV/0!</v>
      </c>
      <c r="AB82" s="13" t="e">
        <f t="shared" si="86"/>
        <v>#DIV/0!</v>
      </c>
      <c r="AC82" s="16"/>
      <c r="AD82" s="12" t="s">
        <v>13</v>
      </c>
      <c r="AE82" s="13" t="e">
        <f>STDEV(AE76:AE80)</f>
        <v>#DIV/0!</v>
      </c>
      <c r="AF82" s="13" t="e">
        <f t="shared" ref="AF82:AI82" si="87">STDEV(AF76:AF80)</f>
        <v>#DIV/0!</v>
      </c>
      <c r="AG82" s="13" t="e">
        <f t="shared" si="87"/>
        <v>#DIV/0!</v>
      </c>
      <c r="AH82" s="13" t="e">
        <f t="shared" si="87"/>
        <v>#DIV/0!</v>
      </c>
      <c r="AI82" s="13" t="e">
        <f t="shared" si="87"/>
        <v>#DIV/0!</v>
      </c>
    </row>
    <row r="83" spans="3:35" x14ac:dyDescent="0.2">
      <c r="C83" s="18"/>
      <c r="D83" s="16"/>
      <c r="E83" s="16"/>
      <c r="F83" s="9"/>
      <c r="G83" s="19"/>
      <c r="H83" s="19"/>
      <c r="I83" s="10"/>
      <c r="J83" s="10"/>
      <c r="K83" s="11"/>
      <c r="L83" s="18"/>
      <c r="M83" s="9"/>
      <c r="N83" s="19"/>
      <c r="O83" s="19"/>
      <c r="P83" s="10"/>
      <c r="Q83" s="10"/>
      <c r="R83" s="11"/>
      <c r="U83" s="15">
        <v>16</v>
      </c>
      <c r="V83" s="15" t="s">
        <v>9</v>
      </c>
      <c r="W83" s="6">
        <v>1</v>
      </c>
      <c r="X83" s="7"/>
      <c r="Y83" s="7"/>
      <c r="Z83" s="7"/>
      <c r="AA83" s="7"/>
      <c r="AB83" s="8"/>
      <c r="AC83" s="15" t="s">
        <v>8</v>
      </c>
      <c r="AD83" s="6">
        <v>1</v>
      </c>
      <c r="AE83" s="7"/>
      <c r="AF83" s="7"/>
      <c r="AG83" s="7"/>
      <c r="AH83" s="7"/>
      <c r="AI83" s="8"/>
    </row>
    <row r="84" spans="3:35" x14ac:dyDescent="0.2">
      <c r="C84" s="18"/>
      <c r="D84" s="16"/>
      <c r="E84" s="16"/>
      <c r="F84" s="9" t="s">
        <v>12</v>
      </c>
      <c r="G84" s="10">
        <f>(G79+G80+G81)/3</f>
        <v>0</v>
      </c>
      <c r="H84" s="10">
        <f t="shared" ref="H84:K84" si="88">(H79+H80+H81)/3</f>
        <v>0</v>
      </c>
      <c r="I84" s="10">
        <f t="shared" si="88"/>
        <v>0</v>
      </c>
      <c r="J84" s="10">
        <f t="shared" si="88"/>
        <v>0</v>
      </c>
      <c r="K84" s="10">
        <f t="shared" si="88"/>
        <v>0</v>
      </c>
      <c r="L84" s="18"/>
      <c r="M84" s="9" t="s">
        <v>12</v>
      </c>
      <c r="N84" s="10">
        <f>(N79+N80+N81)/3</f>
        <v>0</v>
      </c>
      <c r="O84" s="10">
        <f t="shared" ref="O84:R84" si="89">(O79+O80+O81)/3</f>
        <v>0</v>
      </c>
      <c r="P84" s="10">
        <f t="shared" si="89"/>
        <v>0</v>
      </c>
      <c r="Q84" s="10">
        <f t="shared" si="89"/>
        <v>0</v>
      </c>
      <c r="R84" s="11">
        <f t="shared" si="89"/>
        <v>0</v>
      </c>
      <c r="U84" s="16"/>
      <c r="V84" s="16"/>
      <c r="W84" s="9">
        <v>2</v>
      </c>
      <c r="X84" s="10"/>
      <c r="Y84" s="10"/>
      <c r="Z84" s="10"/>
      <c r="AA84" s="10"/>
      <c r="AB84" s="11"/>
      <c r="AC84" s="16"/>
      <c r="AD84" s="9">
        <v>2</v>
      </c>
      <c r="AE84" s="10"/>
      <c r="AF84" s="10"/>
      <c r="AG84" s="10"/>
      <c r="AH84" s="10"/>
      <c r="AI84" s="11"/>
    </row>
    <row r="85" spans="3:35" x14ac:dyDescent="0.2">
      <c r="C85" s="18"/>
      <c r="D85" s="16"/>
      <c r="E85" s="16"/>
      <c r="F85" s="12" t="s">
        <v>13</v>
      </c>
      <c r="G85" s="13" t="e">
        <f>STDEV(G79:G83)</f>
        <v>#DIV/0!</v>
      </c>
      <c r="H85" s="13" t="e">
        <f t="shared" ref="H85:K85" si="90">STDEV(H79:H83)</f>
        <v>#DIV/0!</v>
      </c>
      <c r="I85" s="13" t="e">
        <f t="shared" si="90"/>
        <v>#DIV/0!</v>
      </c>
      <c r="J85" s="13" t="e">
        <f t="shared" si="90"/>
        <v>#DIV/0!</v>
      </c>
      <c r="K85" s="13" t="e">
        <f t="shared" si="90"/>
        <v>#DIV/0!</v>
      </c>
      <c r="L85" s="20"/>
      <c r="M85" s="12" t="s">
        <v>13</v>
      </c>
      <c r="N85" s="13" t="e">
        <f>STDEV(N79:N83)</f>
        <v>#DIV/0!</v>
      </c>
      <c r="O85" s="13" t="e">
        <f t="shared" ref="O85:R85" si="91">STDEV(O79:O83)</f>
        <v>#DIV/0!</v>
      </c>
      <c r="P85" s="13" t="e">
        <f t="shared" si="91"/>
        <v>#DIV/0!</v>
      </c>
      <c r="Q85" s="13" t="e">
        <f t="shared" si="91"/>
        <v>#DIV/0!</v>
      </c>
      <c r="R85" s="14" t="e">
        <f t="shared" si="91"/>
        <v>#DIV/0!</v>
      </c>
      <c r="U85" s="16"/>
      <c r="V85" s="16"/>
      <c r="W85" s="9">
        <v>3</v>
      </c>
      <c r="X85" s="10"/>
      <c r="Y85" s="10"/>
      <c r="Z85" s="10"/>
      <c r="AA85" s="10"/>
      <c r="AB85" s="11"/>
      <c r="AC85" s="16"/>
      <c r="AD85" s="9">
        <v>3</v>
      </c>
      <c r="AE85" s="10"/>
      <c r="AF85" s="10"/>
      <c r="AG85" s="10"/>
      <c r="AH85" s="10"/>
      <c r="AI85" s="11"/>
    </row>
    <row r="86" spans="3:35" x14ac:dyDescent="0.2">
      <c r="C86" s="18"/>
      <c r="D86" s="15" t="s">
        <v>17</v>
      </c>
      <c r="E86" s="15" t="s">
        <v>9</v>
      </c>
      <c r="F86" s="6">
        <v>1</v>
      </c>
      <c r="G86" s="7"/>
      <c r="H86" s="7"/>
      <c r="I86" s="7"/>
      <c r="J86" s="7"/>
      <c r="K86" s="8"/>
      <c r="L86" s="17" t="s">
        <v>14</v>
      </c>
      <c r="M86" s="6">
        <v>1</v>
      </c>
      <c r="N86" s="7"/>
      <c r="O86" s="7"/>
      <c r="P86" s="7"/>
      <c r="Q86" s="7"/>
      <c r="R86" s="8"/>
      <c r="U86" s="16"/>
      <c r="V86" s="16"/>
      <c r="W86" s="9"/>
      <c r="X86" s="19"/>
      <c r="Y86" s="19"/>
      <c r="Z86" s="10"/>
      <c r="AA86" s="10"/>
      <c r="AB86" s="11"/>
      <c r="AC86" s="16"/>
      <c r="AD86" s="9"/>
      <c r="AE86" s="19"/>
      <c r="AF86" s="19"/>
      <c r="AG86" s="10"/>
      <c r="AH86" s="10"/>
      <c r="AI86" s="11"/>
    </row>
    <row r="87" spans="3:35" x14ac:dyDescent="0.2">
      <c r="C87" s="18"/>
      <c r="D87" s="16"/>
      <c r="E87" s="16"/>
      <c r="F87" s="9">
        <v>2</v>
      </c>
      <c r="G87" s="10"/>
      <c r="H87" s="10"/>
      <c r="I87" s="10"/>
      <c r="J87" s="10"/>
      <c r="K87" s="11"/>
      <c r="L87" s="18"/>
      <c r="M87" s="9">
        <v>2</v>
      </c>
      <c r="N87" s="10"/>
      <c r="O87" s="10"/>
      <c r="P87" s="10"/>
      <c r="Q87" s="10"/>
      <c r="R87" s="11"/>
      <c r="U87" s="16"/>
      <c r="V87" s="16"/>
      <c r="W87" s="9"/>
      <c r="X87" s="19"/>
      <c r="Y87" s="19"/>
      <c r="Z87" s="10"/>
      <c r="AA87" s="10"/>
      <c r="AB87" s="11"/>
      <c r="AC87" s="16"/>
      <c r="AD87" s="9"/>
      <c r="AE87" s="19"/>
      <c r="AF87" s="19"/>
      <c r="AG87" s="10"/>
      <c r="AH87" s="10"/>
      <c r="AI87" s="11"/>
    </row>
    <row r="88" spans="3:35" x14ac:dyDescent="0.2">
      <c r="C88" s="18"/>
      <c r="D88" s="16"/>
      <c r="E88" s="16"/>
      <c r="F88" s="9">
        <v>3</v>
      </c>
      <c r="G88" s="10"/>
      <c r="H88" s="10"/>
      <c r="I88" s="10"/>
      <c r="J88" s="10"/>
      <c r="K88" s="11"/>
      <c r="L88" s="18"/>
      <c r="M88" s="9">
        <v>3</v>
      </c>
      <c r="N88" s="10"/>
      <c r="O88" s="10"/>
      <c r="P88" s="10"/>
      <c r="Q88" s="10"/>
      <c r="R88" s="11"/>
      <c r="U88" s="16"/>
      <c r="V88" s="16"/>
      <c r="W88" s="9" t="s">
        <v>12</v>
      </c>
      <c r="X88" s="10">
        <f>(X83+X84+X85)/3</f>
        <v>0</v>
      </c>
      <c r="Y88" s="10">
        <f t="shared" ref="Y88:AB88" si="92">(Y83+Y84+Y85)/3</f>
        <v>0</v>
      </c>
      <c r="Z88" s="10">
        <f t="shared" si="92"/>
        <v>0</v>
      </c>
      <c r="AA88" s="10">
        <f t="shared" si="92"/>
        <v>0</v>
      </c>
      <c r="AB88" s="10">
        <f t="shared" si="92"/>
        <v>0</v>
      </c>
      <c r="AC88" s="16"/>
      <c r="AD88" s="9" t="s">
        <v>12</v>
      </c>
      <c r="AE88" s="10">
        <f>(AE83+AE84+AE85)/3</f>
        <v>0</v>
      </c>
      <c r="AF88" s="10">
        <f t="shared" ref="AF88:AI88" si="93">(AF83+AF84+AF85)/3</f>
        <v>0</v>
      </c>
      <c r="AG88" s="10">
        <f t="shared" si="93"/>
        <v>0</v>
      </c>
      <c r="AH88" s="10">
        <f t="shared" si="93"/>
        <v>0</v>
      </c>
      <c r="AI88" s="10">
        <f t="shared" si="93"/>
        <v>0</v>
      </c>
    </row>
    <row r="89" spans="3:35" x14ac:dyDescent="0.2">
      <c r="C89" s="18"/>
      <c r="D89" s="16"/>
      <c r="E89" s="16"/>
      <c r="F89" s="9"/>
      <c r="G89" s="19"/>
      <c r="H89" s="19"/>
      <c r="I89" s="10"/>
      <c r="J89" s="10"/>
      <c r="K89" s="11"/>
      <c r="L89" s="18"/>
      <c r="M89" s="9"/>
      <c r="N89" s="19"/>
      <c r="O89" s="19"/>
      <c r="P89" s="10"/>
      <c r="Q89" s="10"/>
      <c r="R89" s="11"/>
      <c r="U89" s="16"/>
      <c r="V89" s="16"/>
      <c r="W89" s="12" t="s">
        <v>13</v>
      </c>
      <c r="X89" s="13" t="e">
        <f>STDEV(X83:X87)</f>
        <v>#DIV/0!</v>
      </c>
      <c r="Y89" s="13" t="e">
        <f t="shared" ref="Y89:AB89" si="94">STDEV(Y83:Y87)</f>
        <v>#DIV/0!</v>
      </c>
      <c r="Z89" s="13" t="e">
        <f t="shared" si="94"/>
        <v>#DIV/0!</v>
      </c>
      <c r="AA89" s="13" t="e">
        <f t="shared" si="94"/>
        <v>#DIV/0!</v>
      </c>
      <c r="AB89" s="13" t="e">
        <f t="shared" si="94"/>
        <v>#DIV/0!</v>
      </c>
      <c r="AC89" s="16"/>
      <c r="AD89" s="12" t="s">
        <v>13</v>
      </c>
      <c r="AE89" s="13" t="e">
        <f>STDEV(AE83:AE87)</f>
        <v>#DIV/0!</v>
      </c>
      <c r="AF89" s="13" t="e">
        <f t="shared" ref="AF89:AI89" si="95">STDEV(AF83:AF87)</f>
        <v>#DIV/0!</v>
      </c>
      <c r="AG89" s="13" t="e">
        <f t="shared" si="95"/>
        <v>#DIV/0!</v>
      </c>
      <c r="AH89" s="13" t="e">
        <f t="shared" si="95"/>
        <v>#DIV/0!</v>
      </c>
      <c r="AI89" s="13" t="e">
        <f t="shared" si="95"/>
        <v>#DIV/0!</v>
      </c>
    </row>
    <row r="90" spans="3:35" ht="15" thickBot="1" x14ac:dyDescent="0.25">
      <c r="C90" s="18"/>
      <c r="D90" s="16"/>
      <c r="E90" s="16"/>
      <c r="F90" s="9"/>
      <c r="G90" s="19"/>
      <c r="H90" s="19"/>
      <c r="I90" s="10"/>
      <c r="J90" s="10"/>
      <c r="K90" s="11"/>
      <c r="L90" s="18"/>
      <c r="M90" s="9"/>
      <c r="N90" s="19"/>
      <c r="O90" s="19"/>
      <c r="P90" s="10"/>
      <c r="Q90" s="10"/>
      <c r="R90" s="11"/>
    </row>
    <row r="91" spans="3:35" ht="15" x14ac:dyDescent="0.2">
      <c r="C91" s="18"/>
      <c r="D91" s="16"/>
      <c r="E91" s="16"/>
      <c r="F91" s="9" t="s">
        <v>12</v>
      </c>
      <c r="G91" s="10">
        <f>(G86+G87+G88)/3</f>
        <v>0</v>
      </c>
      <c r="H91" s="10">
        <f t="shared" ref="H91:K91" si="96">(H86+H87+H88)/3</f>
        <v>0</v>
      </c>
      <c r="I91" s="10">
        <f t="shared" si="96"/>
        <v>0</v>
      </c>
      <c r="J91" s="10">
        <f t="shared" si="96"/>
        <v>0</v>
      </c>
      <c r="K91" s="10">
        <f t="shared" si="96"/>
        <v>0</v>
      </c>
      <c r="L91" s="18"/>
      <c r="M91" s="9" t="s">
        <v>12</v>
      </c>
      <c r="N91" s="10">
        <f>(N86+N87+N88)/3</f>
        <v>0</v>
      </c>
      <c r="O91" s="10">
        <f t="shared" ref="O91:R91" si="97">(O86+O87+O88)/3</f>
        <v>0</v>
      </c>
      <c r="P91" s="10">
        <f t="shared" si="97"/>
        <v>0</v>
      </c>
      <c r="Q91" s="10">
        <f t="shared" si="97"/>
        <v>0</v>
      </c>
      <c r="R91" s="11">
        <f t="shared" si="97"/>
        <v>0</v>
      </c>
      <c r="U91" s="2" t="s">
        <v>4</v>
      </c>
      <c r="V91" s="2" t="s">
        <v>5</v>
      </c>
      <c r="W91" s="2" t="s">
        <v>11</v>
      </c>
      <c r="X91" s="3" t="s">
        <v>0</v>
      </c>
      <c r="Y91" s="3" t="s">
        <v>31</v>
      </c>
      <c r="Z91" s="3" t="s">
        <v>1</v>
      </c>
      <c r="AA91" s="3" t="s">
        <v>2</v>
      </c>
      <c r="AB91" s="3" t="s">
        <v>3</v>
      </c>
      <c r="AC91" s="2" t="s">
        <v>5</v>
      </c>
      <c r="AD91" s="2" t="s">
        <v>11</v>
      </c>
      <c r="AE91" s="3" t="s">
        <v>0</v>
      </c>
      <c r="AF91" s="3" t="s">
        <v>31</v>
      </c>
      <c r="AG91" s="3" t="s">
        <v>1</v>
      </c>
      <c r="AH91" s="3" t="s">
        <v>2</v>
      </c>
      <c r="AI91" s="3" t="s">
        <v>3</v>
      </c>
    </row>
    <row r="92" spans="3:35" x14ac:dyDescent="0.2">
      <c r="C92" s="18"/>
      <c r="D92" s="16"/>
      <c r="E92" s="16"/>
      <c r="F92" s="12" t="s">
        <v>13</v>
      </c>
      <c r="G92" s="13" t="e">
        <f>STDEV(G86:G90)</f>
        <v>#DIV/0!</v>
      </c>
      <c r="H92" s="13" t="e">
        <f t="shared" ref="H92:K92" si="98">STDEV(H86:H90)</f>
        <v>#DIV/0!</v>
      </c>
      <c r="I92" s="13" t="e">
        <f t="shared" si="98"/>
        <v>#DIV/0!</v>
      </c>
      <c r="J92" s="13" t="e">
        <f t="shared" si="98"/>
        <v>#DIV/0!</v>
      </c>
      <c r="K92" s="13" t="e">
        <f t="shared" si="98"/>
        <v>#DIV/0!</v>
      </c>
      <c r="L92" s="20"/>
      <c r="M92" s="12" t="s">
        <v>13</v>
      </c>
      <c r="N92" s="13" t="e">
        <f>STDEV(N86:N90)</f>
        <v>#DIV/0!</v>
      </c>
      <c r="O92" s="13" t="e">
        <f t="shared" ref="O92:R92" si="99">STDEV(O86:O90)</f>
        <v>#DIV/0!</v>
      </c>
      <c r="P92" s="13" t="e">
        <f t="shared" si="99"/>
        <v>#DIV/0!</v>
      </c>
      <c r="Q92" s="13" t="e">
        <f t="shared" si="99"/>
        <v>#DIV/0!</v>
      </c>
      <c r="R92" s="14" t="e">
        <f t="shared" si="99"/>
        <v>#DIV/0!</v>
      </c>
      <c r="T92" s="1" t="s">
        <v>28</v>
      </c>
      <c r="U92" s="15">
        <v>6</v>
      </c>
      <c r="V92" s="15" t="s">
        <v>9</v>
      </c>
      <c r="W92" s="6">
        <v>1</v>
      </c>
      <c r="X92" s="7"/>
      <c r="Y92" s="7"/>
      <c r="Z92" s="7"/>
      <c r="AA92" s="7"/>
      <c r="AB92" s="8"/>
      <c r="AC92" s="15" t="s">
        <v>8</v>
      </c>
      <c r="AD92" s="6">
        <v>1</v>
      </c>
      <c r="AE92" s="7"/>
      <c r="AF92" s="7"/>
      <c r="AG92" s="7"/>
      <c r="AH92" s="7"/>
      <c r="AI92" s="8"/>
    </row>
    <row r="93" spans="3:35" x14ac:dyDescent="0.2">
      <c r="C93" s="18"/>
      <c r="D93" s="21" t="s">
        <v>18</v>
      </c>
      <c r="E93" s="15" t="s">
        <v>9</v>
      </c>
      <c r="F93" s="6">
        <v>1</v>
      </c>
      <c r="G93" s="7"/>
      <c r="H93" s="7"/>
      <c r="I93" s="7"/>
      <c r="J93" s="7"/>
      <c r="K93" s="8"/>
      <c r="L93" s="17" t="s">
        <v>14</v>
      </c>
      <c r="M93" s="6">
        <v>1</v>
      </c>
      <c r="N93" s="7"/>
      <c r="O93" s="7"/>
      <c r="P93" s="7"/>
      <c r="Q93" s="7"/>
      <c r="R93" s="8"/>
      <c r="U93" s="16"/>
      <c r="V93" s="16"/>
      <c r="W93" s="9">
        <v>2</v>
      </c>
      <c r="X93" s="10"/>
      <c r="Y93" s="10"/>
      <c r="Z93" s="10"/>
      <c r="AA93" s="10"/>
      <c r="AB93" s="11"/>
      <c r="AC93" s="16"/>
      <c r="AD93" s="9">
        <v>2</v>
      </c>
      <c r="AE93" s="10"/>
      <c r="AF93" s="10"/>
      <c r="AG93" s="10"/>
      <c r="AH93" s="10"/>
      <c r="AI93" s="11"/>
    </row>
    <row r="94" spans="3:35" x14ac:dyDescent="0.2">
      <c r="C94" s="18"/>
      <c r="D94" s="16"/>
      <c r="E94" s="16"/>
      <c r="F94" s="9">
        <v>2</v>
      </c>
      <c r="G94" s="10"/>
      <c r="H94" s="10"/>
      <c r="I94" s="10"/>
      <c r="J94" s="10"/>
      <c r="K94" s="11"/>
      <c r="L94" s="18"/>
      <c r="M94" s="9">
        <v>2</v>
      </c>
      <c r="N94" s="10"/>
      <c r="O94" s="10"/>
      <c r="P94" s="10"/>
      <c r="Q94" s="10"/>
      <c r="R94" s="11"/>
      <c r="U94" s="16"/>
      <c r="V94" s="16"/>
      <c r="W94" s="9">
        <v>3</v>
      </c>
      <c r="X94" s="10"/>
      <c r="Y94" s="10"/>
      <c r="Z94" s="10"/>
      <c r="AA94" s="10"/>
      <c r="AB94" s="11"/>
      <c r="AC94" s="16"/>
      <c r="AD94" s="9">
        <v>3</v>
      </c>
      <c r="AE94" s="10"/>
      <c r="AF94" s="10"/>
      <c r="AG94" s="10"/>
      <c r="AH94" s="10"/>
      <c r="AI94" s="11"/>
    </row>
    <row r="95" spans="3:35" x14ac:dyDescent="0.2">
      <c r="C95" s="18"/>
      <c r="D95" s="16"/>
      <c r="E95" s="16"/>
      <c r="F95" s="9">
        <v>3</v>
      </c>
      <c r="G95" s="10"/>
      <c r="H95" s="10"/>
      <c r="I95" s="10"/>
      <c r="J95" s="10"/>
      <c r="K95" s="11"/>
      <c r="L95" s="18"/>
      <c r="M95" s="9">
        <v>3</v>
      </c>
      <c r="N95" s="10"/>
      <c r="O95" s="10"/>
      <c r="P95" s="10"/>
      <c r="Q95" s="10"/>
      <c r="R95" s="11"/>
      <c r="U95" s="16"/>
      <c r="V95" s="16"/>
      <c r="W95" s="9"/>
      <c r="X95" s="19"/>
      <c r="Y95" s="19"/>
      <c r="Z95" s="10"/>
      <c r="AA95" s="10"/>
      <c r="AB95" s="11"/>
      <c r="AC95" s="16"/>
      <c r="AD95" s="9"/>
      <c r="AE95" s="19"/>
      <c r="AF95" s="19"/>
      <c r="AG95" s="10"/>
      <c r="AH95" s="10"/>
      <c r="AI95" s="11"/>
    </row>
    <row r="96" spans="3:35" x14ac:dyDescent="0.2">
      <c r="C96" s="18"/>
      <c r="D96" s="16"/>
      <c r="E96" s="16"/>
      <c r="F96" s="9"/>
      <c r="G96" s="19"/>
      <c r="H96" s="19"/>
      <c r="I96" s="10"/>
      <c r="J96" s="10"/>
      <c r="K96" s="11"/>
      <c r="L96" s="18"/>
      <c r="M96" s="9"/>
      <c r="N96" s="19"/>
      <c r="O96" s="19"/>
      <c r="P96" s="10"/>
      <c r="Q96" s="10"/>
      <c r="R96" s="11"/>
      <c r="U96" s="16"/>
      <c r="V96" s="16"/>
      <c r="W96" s="9"/>
      <c r="X96" s="19"/>
      <c r="Y96" s="19"/>
      <c r="Z96" s="10"/>
      <c r="AA96" s="10"/>
      <c r="AB96" s="11"/>
      <c r="AC96" s="16"/>
      <c r="AD96" s="9"/>
      <c r="AE96" s="19"/>
      <c r="AF96" s="19"/>
      <c r="AG96" s="10"/>
      <c r="AH96" s="10"/>
      <c r="AI96" s="11"/>
    </row>
    <row r="97" spans="3:35" x14ac:dyDescent="0.2">
      <c r="C97" s="18"/>
      <c r="D97" s="16"/>
      <c r="E97" s="16"/>
      <c r="F97" s="9"/>
      <c r="G97" s="19"/>
      <c r="H97" s="19"/>
      <c r="I97" s="10"/>
      <c r="J97" s="10"/>
      <c r="K97" s="11"/>
      <c r="L97" s="18"/>
      <c r="M97" s="9"/>
      <c r="N97" s="19"/>
      <c r="O97" s="19"/>
      <c r="P97" s="10"/>
      <c r="Q97" s="10"/>
      <c r="R97" s="11"/>
      <c r="U97" s="16"/>
      <c r="V97" s="16"/>
      <c r="W97" s="9" t="s">
        <v>12</v>
      </c>
      <c r="X97" s="10">
        <f>(X92+X93+X94)/3</f>
        <v>0</v>
      </c>
      <c r="Y97" s="10">
        <f t="shared" ref="Y97:AB97" si="100">(Y92+Y93+Y94)/3</f>
        <v>0</v>
      </c>
      <c r="Z97" s="10">
        <f t="shared" si="100"/>
        <v>0</v>
      </c>
      <c r="AA97" s="10">
        <f t="shared" si="100"/>
        <v>0</v>
      </c>
      <c r="AB97" s="10">
        <f t="shared" si="100"/>
        <v>0</v>
      </c>
      <c r="AC97" s="16"/>
      <c r="AD97" s="9" t="s">
        <v>12</v>
      </c>
      <c r="AE97" s="10">
        <f>(AE92+AE93+AE94)/3</f>
        <v>0</v>
      </c>
      <c r="AF97" s="10">
        <f t="shared" ref="AF97:AI97" si="101">(AF92+AF93+AF94)/3</f>
        <v>0</v>
      </c>
      <c r="AG97" s="10">
        <f t="shared" si="101"/>
        <v>0</v>
      </c>
      <c r="AH97" s="10">
        <f t="shared" si="101"/>
        <v>0</v>
      </c>
      <c r="AI97" s="10">
        <f t="shared" si="101"/>
        <v>0</v>
      </c>
    </row>
    <row r="98" spans="3:35" x14ac:dyDescent="0.2">
      <c r="C98" s="18"/>
      <c r="D98" s="16"/>
      <c r="E98" s="16"/>
      <c r="F98" s="9" t="s">
        <v>12</v>
      </c>
      <c r="G98" s="10">
        <f>(G93+G94+G95)/3</f>
        <v>0</v>
      </c>
      <c r="H98" s="10">
        <f t="shared" ref="H98:K98" si="102">(H93+H94+H95)/3</f>
        <v>0</v>
      </c>
      <c r="I98" s="10">
        <f t="shared" si="102"/>
        <v>0</v>
      </c>
      <c r="J98" s="10">
        <f t="shared" si="102"/>
        <v>0</v>
      </c>
      <c r="K98" s="10">
        <f t="shared" si="102"/>
        <v>0</v>
      </c>
      <c r="L98" s="18"/>
      <c r="M98" s="9" t="s">
        <v>12</v>
      </c>
      <c r="N98" s="10">
        <f>(N93+N94+N95)/3</f>
        <v>0</v>
      </c>
      <c r="O98" s="10">
        <f t="shared" ref="O98:R98" si="103">(O93+O94+O95)/3</f>
        <v>0</v>
      </c>
      <c r="P98" s="10">
        <f t="shared" si="103"/>
        <v>0</v>
      </c>
      <c r="Q98" s="10">
        <f t="shared" si="103"/>
        <v>0</v>
      </c>
      <c r="R98" s="11">
        <f t="shared" si="103"/>
        <v>0</v>
      </c>
      <c r="U98" s="16"/>
      <c r="V98" s="16"/>
      <c r="W98" s="12" t="s">
        <v>13</v>
      </c>
      <c r="X98" s="13" t="e">
        <f>STDEV(X92:X96)</f>
        <v>#DIV/0!</v>
      </c>
      <c r="Y98" s="13" t="e">
        <f t="shared" ref="Y98:AB98" si="104">STDEV(Y92:Y96)</f>
        <v>#DIV/0!</v>
      </c>
      <c r="Z98" s="13" t="e">
        <f t="shared" si="104"/>
        <v>#DIV/0!</v>
      </c>
      <c r="AA98" s="13" t="e">
        <f t="shared" si="104"/>
        <v>#DIV/0!</v>
      </c>
      <c r="AB98" s="13" t="e">
        <f t="shared" si="104"/>
        <v>#DIV/0!</v>
      </c>
      <c r="AC98" s="16"/>
      <c r="AD98" s="12" t="s">
        <v>13</v>
      </c>
      <c r="AE98" s="13" t="e">
        <f>STDEV(AE92:AE96)</f>
        <v>#DIV/0!</v>
      </c>
      <c r="AF98" s="13" t="e">
        <f t="shared" ref="AF98:AI98" si="105">STDEV(AF92:AF96)</f>
        <v>#DIV/0!</v>
      </c>
      <c r="AG98" s="13" t="e">
        <f t="shared" si="105"/>
        <v>#DIV/0!</v>
      </c>
      <c r="AH98" s="13" t="e">
        <f t="shared" si="105"/>
        <v>#DIV/0!</v>
      </c>
      <c r="AI98" s="13" t="e">
        <f t="shared" si="105"/>
        <v>#DIV/0!</v>
      </c>
    </row>
    <row r="99" spans="3:35" x14ac:dyDescent="0.2">
      <c r="C99" s="18"/>
      <c r="D99" s="16"/>
      <c r="E99" s="16"/>
      <c r="F99" s="12" t="s">
        <v>13</v>
      </c>
      <c r="G99" s="13" t="e">
        <f>STDEV(G93:G97)</f>
        <v>#DIV/0!</v>
      </c>
      <c r="H99" s="13" t="e">
        <f t="shared" ref="H99:K99" si="106">STDEV(H93:H97)</f>
        <v>#DIV/0!</v>
      </c>
      <c r="I99" s="13" t="e">
        <f t="shared" si="106"/>
        <v>#DIV/0!</v>
      </c>
      <c r="J99" s="13" t="e">
        <f t="shared" si="106"/>
        <v>#DIV/0!</v>
      </c>
      <c r="K99" s="13" t="e">
        <f t="shared" si="106"/>
        <v>#DIV/0!</v>
      </c>
      <c r="L99" s="20"/>
      <c r="M99" s="12" t="s">
        <v>13</v>
      </c>
      <c r="N99" s="13" t="e">
        <f>STDEV(N93:N97)</f>
        <v>#DIV/0!</v>
      </c>
      <c r="O99" s="13" t="e">
        <f t="shared" ref="O99:R99" si="107">STDEV(O93:O97)</f>
        <v>#DIV/0!</v>
      </c>
      <c r="P99" s="13" t="e">
        <f t="shared" si="107"/>
        <v>#DIV/0!</v>
      </c>
      <c r="Q99" s="13" t="e">
        <f t="shared" si="107"/>
        <v>#DIV/0!</v>
      </c>
      <c r="R99" s="14" t="e">
        <f t="shared" si="107"/>
        <v>#DIV/0!</v>
      </c>
      <c r="U99" s="15">
        <v>12</v>
      </c>
      <c r="V99" s="15" t="s">
        <v>9</v>
      </c>
      <c r="W99" s="6">
        <v>1</v>
      </c>
      <c r="X99" s="7"/>
      <c r="Y99" s="7"/>
      <c r="Z99" s="7"/>
      <c r="AA99" s="7"/>
      <c r="AB99" s="8"/>
      <c r="AC99" s="15" t="s">
        <v>8</v>
      </c>
      <c r="AD99" s="6">
        <v>1</v>
      </c>
      <c r="AE99" s="7"/>
      <c r="AF99" s="7"/>
      <c r="AG99" s="7"/>
      <c r="AH99" s="7"/>
      <c r="AI99" s="8"/>
    </row>
    <row r="100" spans="3:35" x14ac:dyDescent="0.2">
      <c r="C100" s="18"/>
      <c r="D100" s="21" t="s">
        <v>19</v>
      </c>
      <c r="E100" s="15" t="s">
        <v>9</v>
      </c>
      <c r="F100" s="6">
        <v>1</v>
      </c>
      <c r="G100" s="7"/>
      <c r="H100" s="7"/>
      <c r="I100" s="7"/>
      <c r="J100" s="7"/>
      <c r="K100" s="8"/>
      <c r="L100" s="17" t="s">
        <v>14</v>
      </c>
      <c r="M100" s="6">
        <v>1</v>
      </c>
      <c r="N100" s="7"/>
      <c r="O100" s="7"/>
      <c r="P100" s="7"/>
      <c r="Q100" s="7"/>
      <c r="R100" s="8"/>
      <c r="U100" s="16"/>
      <c r="V100" s="16"/>
      <c r="W100" s="9">
        <v>2</v>
      </c>
      <c r="X100" s="10"/>
      <c r="Y100" s="10"/>
      <c r="Z100" s="10"/>
      <c r="AA100" s="10"/>
      <c r="AB100" s="11"/>
      <c r="AC100" s="16"/>
      <c r="AD100" s="9">
        <v>2</v>
      </c>
      <c r="AE100" s="10"/>
      <c r="AF100" s="10"/>
      <c r="AG100" s="10"/>
      <c r="AH100" s="10"/>
      <c r="AI100" s="11"/>
    </row>
    <row r="101" spans="3:35" x14ac:dyDescent="0.2">
      <c r="C101" s="18"/>
      <c r="D101" s="16"/>
      <c r="E101" s="16"/>
      <c r="F101" s="9">
        <v>2</v>
      </c>
      <c r="G101" s="10"/>
      <c r="H101" s="10"/>
      <c r="I101" s="10"/>
      <c r="J101" s="10"/>
      <c r="K101" s="11"/>
      <c r="L101" s="18"/>
      <c r="M101" s="9">
        <v>2</v>
      </c>
      <c r="N101" s="10"/>
      <c r="O101" s="10"/>
      <c r="P101" s="10"/>
      <c r="Q101" s="10"/>
      <c r="R101" s="11"/>
      <c r="U101" s="16"/>
      <c r="V101" s="16"/>
      <c r="W101" s="9">
        <v>3</v>
      </c>
      <c r="X101" s="10"/>
      <c r="Y101" s="10"/>
      <c r="Z101" s="10"/>
      <c r="AA101" s="10"/>
      <c r="AB101" s="11"/>
      <c r="AC101" s="16"/>
      <c r="AD101" s="9">
        <v>3</v>
      </c>
      <c r="AE101" s="10"/>
      <c r="AF101" s="10"/>
      <c r="AG101" s="10"/>
      <c r="AH101" s="10"/>
      <c r="AI101" s="11"/>
    </row>
    <row r="102" spans="3:35" x14ac:dyDescent="0.2">
      <c r="C102" s="18"/>
      <c r="D102" s="16"/>
      <c r="E102" s="16"/>
      <c r="F102" s="9">
        <v>3</v>
      </c>
      <c r="G102" s="10"/>
      <c r="H102" s="10"/>
      <c r="I102" s="10"/>
      <c r="J102" s="10"/>
      <c r="K102" s="11"/>
      <c r="L102" s="18"/>
      <c r="M102" s="9">
        <v>3</v>
      </c>
      <c r="N102" s="10"/>
      <c r="O102" s="10"/>
      <c r="P102" s="10"/>
      <c r="Q102" s="10"/>
      <c r="R102" s="11"/>
      <c r="U102" s="16"/>
      <c r="V102" s="16"/>
      <c r="W102" s="9"/>
      <c r="X102" s="19"/>
      <c r="Y102" s="19"/>
      <c r="Z102" s="10"/>
      <c r="AA102" s="10"/>
      <c r="AB102" s="11"/>
      <c r="AC102" s="16"/>
      <c r="AD102" s="9"/>
      <c r="AE102" s="19"/>
      <c r="AF102" s="19"/>
      <c r="AG102" s="10"/>
      <c r="AH102" s="10"/>
      <c r="AI102" s="11"/>
    </row>
    <row r="103" spans="3:35" x14ac:dyDescent="0.2">
      <c r="C103" s="18"/>
      <c r="D103" s="16"/>
      <c r="E103" s="16"/>
      <c r="F103" s="9"/>
      <c r="G103" s="19"/>
      <c r="H103" s="19"/>
      <c r="I103" s="10"/>
      <c r="J103" s="10"/>
      <c r="K103" s="11"/>
      <c r="L103" s="18"/>
      <c r="M103" s="9"/>
      <c r="N103" s="19"/>
      <c r="O103" s="19"/>
      <c r="P103" s="10"/>
      <c r="Q103" s="10"/>
      <c r="R103" s="11"/>
      <c r="U103" s="16"/>
      <c r="V103" s="16"/>
      <c r="W103" s="9"/>
      <c r="X103" s="19"/>
      <c r="Y103" s="19"/>
      <c r="Z103" s="10"/>
      <c r="AA103" s="10"/>
      <c r="AB103" s="11"/>
      <c r="AC103" s="16"/>
      <c r="AD103" s="9"/>
      <c r="AE103" s="19"/>
      <c r="AF103" s="19"/>
      <c r="AG103" s="10"/>
      <c r="AH103" s="10"/>
      <c r="AI103" s="11"/>
    </row>
    <row r="104" spans="3:35" x14ac:dyDescent="0.2">
      <c r="C104" s="18"/>
      <c r="D104" s="16"/>
      <c r="E104" s="16"/>
      <c r="F104" s="9"/>
      <c r="G104" s="19"/>
      <c r="H104" s="19"/>
      <c r="I104" s="10"/>
      <c r="J104" s="10"/>
      <c r="K104" s="11"/>
      <c r="L104" s="18"/>
      <c r="M104" s="9"/>
      <c r="N104" s="19"/>
      <c r="O104" s="19"/>
      <c r="P104" s="10"/>
      <c r="Q104" s="10"/>
      <c r="R104" s="11"/>
      <c r="U104" s="16"/>
      <c r="V104" s="16"/>
      <c r="W104" s="9" t="s">
        <v>12</v>
      </c>
      <c r="X104" s="10">
        <f>(X99+X100+X101)/3</f>
        <v>0</v>
      </c>
      <c r="Y104" s="10">
        <f t="shared" ref="Y104:AB104" si="108">(Y99+Y100+Y101)/3</f>
        <v>0</v>
      </c>
      <c r="Z104" s="10">
        <f t="shared" si="108"/>
        <v>0</v>
      </c>
      <c r="AA104" s="10">
        <f t="shared" si="108"/>
        <v>0</v>
      </c>
      <c r="AB104" s="10">
        <f t="shared" si="108"/>
        <v>0</v>
      </c>
      <c r="AC104" s="16"/>
      <c r="AD104" s="9" t="s">
        <v>12</v>
      </c>
      <c r="AE104" s="10">
        <f>(AE99+AE100+AE101)/3</f>
        <v>0</v>
      </c>
      <c r="AF104" s="10">
        <f t="shared" ref="AF104:AI104" si="109">(AF99+AF100+AF101)/3</f>
        <v>0</v>
      </c>
      <c r="AG104" s="10">
        <f t="shared" si="109"/>
        <v>0</v>
      </c>
      <c r="AH104" s="10">
        <f t="shared" si="109"/>
        <v>0</v>
      </c>
      <c r="AI104" s="10">
        <f t="shared" si="109"/>
        <v>0</v>
      </c>
    </row>
    <row r="105" spans="3:35" x14ac:dyDescent="0.2">
      <c r="C105" s="18"/>
      <c r="D105" s="16"/>
      <c r="E105" s="16"/>
      <c r="F105" s="9" t="s">
        <v>12</v>
      </c>
      <c r="G105" s="10">
        <f>(G100+G101+G102)/3</f>
        <v>0</v>
      </c>
      <c r="H105" s="10">
        <f t="shared" ref="H105:K105" si="110">(H100+H101+H102)/3</f>
        <v>0</v>
      </c>
      <c r="I105" s="10">
        <f t="shared" si="110"/>
        <v>0</v>
      </c>
      <c r="J105" s="10">
        <f t="shared" si="110"/>
        <v>0</v>
      </c>
      <c r="K105" s="10">
        <f t="shared" si="110"/>
        <v>0</v>
      </c>
      <c r="L105" s="18"/>
      <c r="M105" s="9" t="s">
        <v>12</v>
      </c>
      <c r="N105" s="10">
        <f>(N100+N101+N102)/3</f>
        <v>0</v>
      </c>
      <c r="O105" s="10">
        <f t="shared" ref="O105:R105" si="111">(O100+O101+O102)/3</f>
        <v>0</v>
      </c>
      <c r="P105" s="10">
        <f t="shared" si="111"/>
        <v>0</v>
      </c>
      <c r="Q105" s="10">
        <f t="shared" si="111"/>
        <v>0</v>
      </c>
      <c r="R105" s="11">
        <f t="shared" si="111"/>
        <v>0</v>
      </c>
      <c r="U105" s="16"/>
      <c r="V105" s="16"/>
      <c r="W105" s="12" t="s">
        <v>13</v>
      </c>
      <c r="X105" s="13" t="e">
        <f>STDEV(X99:X103)</f>
        <v>#DIV/0!</v>
      </c>
      <c r="Y105" s="13" t="e">
        <f t="shared" ref="Y105:AB105" si="112">STDEV(Y99:Y103)</f>
        <v>#DIV/0!</v>
      </c>
      <c r="Z105" s="13" t="e">
        <f t="shared" si="112"/>
        <v>#DIV/0!</v>
      </c>
      <c r="AA105" s="13" t="e">
        <f t="shared" si="112"/>
        <v>#DIV/0!</v>
      </c>
      <c r="AB105" s="13" t="e">
        <f t="shared" si="112"/>
        <v>#DIV/0!</v>
      </c>
      <c r="AC105" s="16"/>
      <c r="AD105" s="12" t="s">
        <v>13</v>
      </c>
      <c r="AE105" s="13" t="e">
        <f>STDEV(AE99:AE103)</f>
        <v>#DIV/0!</v>
      </c>
      <c r="AF105" s="13" t="e">
        <f t="shared" ref="AF105:AI105" si="113">STDEV(AF99:AF103)</f>
        <v>#DIV/0!</v>
      </c>
      <c r="AG105" s="13" t="e">
        <f t="shared" si="113"/>
        <v>#DIV/0!</v>
      </c>
      <c r="AH105" s="13" t="e">
        <f t="shared" si="113"/>
        <v>#DIV/0!</v>
      </c>
      <c r="AI105" s="13" t="e">
        <f t="shared" si="113"/>
        <v>#DIV/0!</v>
      </c>
    </row>
    <row r="106" spans="3:35" x14ac:dyDescent="0.2">
      <c r="C106" s="18"/>
      <c r="D106" s="16"/>
      <c r="E106" s="16"/>
      <c r="F106" s="12" t="s">
        <v>13</v>
      </c>
      <c r="G106" s="13" t="e">
        <f>STDEV(G100:G104)</f>
        <v>#DIV/0!</v>
      </c>
      <c r="H106" s="13" t="e">
        <f t="shared" ref="H106:K106" si="114">STDEV(H100:H104)</f>
        <v>#DIV/0!</v>
      </c>
      <c r="I106" s="13" t="e">
        <f t="shared" si="114"/>
        <v>#DIV/0!</v>
      </c>
      <c r="J106" s="13" t="e">
        <f t="shared" si="114"/>
        <v>#DIV/0!</v>
      </c>
      <c r="K106" s="13" t="e">
        <f t="shared" si="114"/>
        <v>#DIV/0!</v>
      </c>
      <c r="L106" s="20"/>
      <c r="M106" s="12" t="s">
        <v>13</v>
      </c>
      <c r="N106" s="13" t="e">
        <f>STDEV(N100:N104)</f>
        <v>#DIV/0!</v>
      </c>
      <c r="O106" s="13" t="e">
        <f t="shared" ref="O106:R106" si="115">STDEV(O100:O104)</f>
        <v>#DIV/0!</v>
      </c>
      <c r="P106" s="13" t="e">
        <f t="shared" si="115"/>
        <v>#DIV/0!</v>
      </c>
      <c r="Q106" s="13" t="e">
        <f t="shared" si="115"/>
        <v>#DIV/0!</v>
      </c>
      <c r="R106" s="14" t="e">
        <f t="shared" si="115"/>
        <v>#DIV/0!</v>
      </c>
      <c r="U106" s="15">
        <v>14</v>
      </c>
      <c r="V106" s="15" t="s">
        <v>9</v>
      </c>
      <c r="W106" s="6">
        <v>1</v>
      </c>
      <c r="X106" s="7"/>
      <c r="Y106" s="7"/>
      <c r="Z106" s="7"/>
      <c r="AA106" s="7"/>
      <c r="AB106" s="8"/>
      <c r="AC106" s="15" t="s">
        <v>8</v>
      </c>
      <c r="AD106" s="6">
        <v>1</v>
      </c>
      <c r="AE106" s="7"/>
      <c r="AF106" s="7"/>
      <c r="AG106" s="7"/>
      <c r="AH106" s="7"/>
      <c r="AI106" s="8"/>
    </row>
    <row r="107" spans="3:35" x14ac:dyDescent="0.2">
      <c r="C107" s="17">
        <v>20</v>
      </c>
      <c r="D107" s="15" t="s">
        <v>15</v>
      </c>
      <c r="E107" s="15" t="s">
        <v>9</v>
      </c>
      <c r="F107" s="6">
        <v>1</v>
      </c>
      <c r="G107" s="4">
        <v>26.702064514160099</v>
      </c>
      <c r="H107" s="4">
        <v>0.160534217953681</v>
      </c>
      <c r="I107" s="4">
        <v>1258.91455078125</v>
      </c>
      <c r="J107" s="4">
        <v>35.481185870560303</v>
      </c>
      <c r="K107" s="4">
        <v>0.98513305187225297</v>
      </c>
      <c r="L107" s="17" t="s">
        <v>14</v>
      </c>
      <c r="M107" s="6">
        <v>1</v>
      </c>
      <c r="N107" s="7"/>
      <c r="O107" s="7"/>
      <c r="P107" s="7"/>
      <c r="Q107" s="7"/>
      <c r="R107" s="8"/>
      <c r="U107" s="16"/>
      <c r="V107" s="16"/>
      <c r="W107" s="9">
        <v>2</v>
      </c>
      <c r="X107" s="10"/>
      <c r="Y107" s="10"/>
      <c r="Z107" s="10"/>
      <c r="AA107" s="10"/>
      <c r="AB107" s="11"/>
      <c r="AC107" s="16"/>
      <c r="AD107" s="9">
        <v>2</v>
      </c>
      <c r="AE107" s="10"/>
      <c r="AF107" s="10"/>
      <c r="AG107" s="10"/>
      <c r="AH107" s="10"/>
      <c r="AI107" s="11"/>
    </row>
    <row r="108" spans="3:35" x14ac:dyDescent="0.2">
      <c r="C108" s="18"/>
      <c r="D108" s="16"/>
      <c r="E108" s="16"/>
      <c r="F108" s="9">
        <v>2</v>
      </c>
      <c r="G108" s="4">
        <v>28.731849670410099</v>
      </c>
      <c r="H108" s="4">
        <v>0.14622060954570701</v>
      </c>
      <c r="I108" s="4">
        <v>1368.20556640625</v>
      </c>
      <c r="J108" s="4">
        <v>36.989262852971898</v>
      </c>
      <c r="K108" s="4">
        <v>0.983842372894287</v>
      </c>
      <c r="L108" s="18"/>
      <c r="M108" s="9">
        <v>2</v>
      </c>
      <c r="N108" s="10"/>
      <c r="O108" s="10"/>
      <c r="P108" s="10"/>
      <c r="Q108" s="10"/>
      <c r="R108" s="11"/>
      <c r="U108" s="16"/>
      <c r="V108" s="16"/>
      <c r="W108" s="9">
        <v>3</v>
      </c>
      <c r="X108" s="10"/>
      <c r="Y108" s="10"/>
      <c r="Z108" s="10"/>
      <c r="AA108" s="10"/>
      <c r="AB108" s="11"/>
      <c r="AC108" s="16"/>
      <c r="AD108" s="9">
        <v>3</v>
      </c>
      <c r="AE108" s="10"/>
      <c r="AF108" s="10"/>
      <c r="AG108" s="10"/>
      <c r="AH108" s="10"/>
      <c r="AI108" s="11"/>
    </row>
    <row r="109" spans="3:35" x14ac:dyDescent="0.2">
      <c r="C109" s="18"/>
      <c r="D109" s="16"/>
      <c r="E109" s="16"/>
      <c r="F109" s="9">
        <v>3</v>
      </c>
      <c r="G109" s="4">
        <v>27.0725193023681</v>
      </c>
      <c r="H109" s="4">
        <v>8.7342344224452903E-2</v>
      </c>
      <c r="I109" s="4">
        <v>1325.69677734375</v>
      </c>
      <c r="J109" s="4">
        <v>36.4101191613506</v>
      </c>
      <c r="K109" s="4">
        <v>0.98434436321258501</v>
      </c>
      <c r="L109" s="18"/>
      <c r="M109" s="9">
        <v>3</v>
      </c>
      <c r="N109" s="10"/>
      <c r="O109" s="10"/>
      <c r="P109" s="10"/>
      <c r="Q109" s="10"/>
      <c r="R109" s="11"/>
      <c r="U109" s="16"/>
      <c r="V109" s="16"/>
      <c r="W109" s="9"/>
      <c r="X109" s="19"/>
      <c r="Y109" s="19"/>
      <c r="Z109" s="10"/>
      <c r="AA109" s="10"/>
      <c r="AB109" s="11"/>
      <c r="AC109" s="16"/>
      <c r="AD109" s="9"/>
      <c r="AE109" s="19"/>
      <c r="AF109" s="19"/>
      <c r="AG109" s="10"/>
      <c r="AH109" s="10"/>
      <c r="AI109" s="11"/>
    </row>
    <row r="110" spans="3:35" x14ac:dyDescent="0.2">
      <c r="C110" s="18"/>
      <c r="D110" s="16"/>
      <c r="E110" s="16"/>
      <c r="F110" s="9"/>
      <c r="G110" s="19"/>
      <c r="H110" s="19"/>
      <c r="I110" s="10"/>
      <c r="J110" s="10"/>
      <c r="K110" s="11"/>
      <c r="L110" s="18"/>
      <c r="M110" s="9"/>
      <c r="N110" s="19"/>
      <c r="O110" s="19"/>
      <c r="P110" s="10"/>
      <c r="Q110" s="10"/>
      <c r="R110" s="11"/>
      <c r="U110" s="16"/>
      <c r="V110" s="16"/>
      <c r="W110" s="9"/>
      <c r="X110" s="19"/>
      <c r="Y110" s="19"/>
      <c r="Z110" s="10"/>
      <c r="AA110" s="10"/>
      <c r="AB110" s="11"/>
      <c r="AC110" s="16"/>
      <c r="AD110" s="9"/>
      <c r="AE110" s="19"/>
      <c r="AF110" s="19"/>
      <c r="AG110" s="10"/>
      <c r="AH110" s="10"/>
      <c r="AI110" s="11"/>
    </row>
    <row r="111" spans="3:35" x14ac:dyDescent="0.2">
      <c r="C111" s="18"/>
      <c r="D111" s="16"/>
      <c r="E111" s="16"/>
      <c r="F111" s="9"/>
      <c r="G111" s="19"/>
      <c r="H111" s="19"/>
      <c r="I111" s="10"/>
      <c r="J111" s="10"/>
      <c r="K111" s="11"/>
      <c r="L111" s="18"/>
      <c r="M111" s="9"/>
      <c r="N111" s="19"/>
      <c r="O111" s="19"/>
      <c r="P111" s="10"/>
      <c r="Q111" s="10"/>
      <c r="R111" s="11"/>
      <c r="U111" s="16"/>
      <c r="V111" s="16"/>
      <c r="W111" s="9" t="s">
        <v>12</v>
      </c>
      <c r="X111" s="10">
        <f>(X106+X107+X108)/3</f>
        <v>0</v>
      </c>
      <c r="Y111" s="10">
        <f t="shared" ref="Y111:AB111" si="116">(Y106+Y107+Y108)/3</f>
        <v>0</v>
      </c>
      <c r="Z111" s="10">
        <f t="shared" si="116"/>
        <v>0</v>
      </c>
      <c r="AA111" s="10">
        <f t="shared" si="116"/>
        <v>0</v>
      </c>
      <c r="AB111" s="10">
        <f t="shared" si="116"/>
        <v>0</v>
      </c>
      <c r="AC111" s="16"/>
      <c r="AD111" s="9" t="s">
        <v>12</v>
      </c>
      <c r="AE111" s="10">
        <f>(AE106+AE107+AE108)/3</f>
        <v>0</v>
      </c>
      <c r="AF111" s="10">
        <f t="shared" ref="AF111:AI111" si="117">(AF106+AF107+AF108)/3</f>
        <v>0</v>
      </c>
      <c r="AG111" s="10">
        <f t="shared" si="117"/>
        <v>0</v>
      </c>
      <c r="AH111" s="10">
        <f t="shared" si="117"/>
        <v>0</v>
      </c>
      <c r="AI111" s="10">
        <f t="shared" si="117"/>
        <v>0</v>
      </c>
    </row>
    <row r="112" spans="3:35" x14ac:dyDescent="0.2">
      <c r="C112" s="18"/>
      <c r="D112" s="16"/>
      <c r="E112" s="16"/>
      <c r="F112" s="9" t="s">
        <v>12</v>
      </c>
      <c r="G112" s="10">
        <f>(G107+G108+G109)/3</f>
        <v>27.502144495646103</v>
      </c>
      <c r="H112" s="10">
        <f t="shared" ref="H112:K112" si="118">(H107+H108+H109)/3</f>
        <v>0.13136572390794696</v>
      </c>
      <c r="I112" s="10">
        <f t="shared" si="118"/>
        <v>1317.6056315104167</v>
      </c>
      <c r="J112" s="10">
        <f t="shared" si="118"/>
        <v>36.293522628294262</v>
      </c>
      <c r="K112" s="10">
        <f t="shared" si="118"/>
        <v>0.98443992932637503</v>
      </c>
      <c r="L112" s="18"/>
      <c r="M112" s="9" t="s">
        <v>12</v>
      </c>
      <c r="N112" s="10">
        <f>(N107+N108+N109)/3</f>
        <v>0</v>
      </c>
      <c r="O112" s="10">
        <f t="shared" ref="O112:R112" si="119">(O107+O108+O109)/3</f>
        <v>0</v>
      </c>
      <c r="P112" s="10">
        <f t="shared" si="119"/>
        <v>0</v>
      </c>
      <c r="Q112" s="10">
        <f t="shared" si="119"/>
        <v>0</v>
      </c>
      <c r="R112" s="11">
        <f t="shared" si="119"/>
        <v>0</v>
      </c>
      <c r="U112" s="16"/>
      <c r="V112" s="16"/>
      <c r="W112" s="12" t="s">
        <v>13</v>
      </c>
      <c r="X112" s="13" t="e">
        <f>STDEV(X106:X110)</f>
        <v>#DIV/0!</v>
      </c>
      <c r="Y112" s="13" t="e">
        <f t="shared" ref="Y112:AB112" si="120">STDEV(Y106:Y110)</f>
        <v>#DIV/0!</v>
      </c>
      <c r="Z112" s="13" t="e">
        <f t="shared" si="120"/>
        <v>#DIV/0!</v>
      </c>
      <c r="AA112" s="13" t="e">
        <f t="shared" si="120"/>
        <v>#DIV/0!</v>
      </c>
      <c r="AB112" s="13" t="e">
        <f t="shared" si="120"/>
        <v>#DIV/0!</v>
      </c>
      <c r="AC112" s="16"/>
      <c r="AD112" s="12" t="s">
        <v>13</v>
      </c>
      <c r="AE112" s="13" t="e">
        <f>STDEV(AE106:AE110)</f>
        <v>#DIV/0!</v>
      </c>
      <c r="AF112" s="13" t="e">
        <f t="shared" ref="AF112:AI112" si="121">STDEV(AF106:AF110)</f>
        <v>#DIV/0!</v>
      </c>
      <c r="AG112" s="13" t="e">
        <f t="shared" si="121"/>
        <v>#DIV/0!</v>
      </c>
      <c r="AH112" s="13" t="e">
        <f t="shared" si="121"/>
        <v>#DIV/0!</v>
      </c>
      <c r="AI112" s="13" t="e">
        <f t="shared" si="121"/>
        <v>#DIV/0!</v>
      </c>
    </row>
    <row r="113" spans="3:35" x14ac:dyDescent="0.2">
      <c r="C113" s="18"/>
      <c r="D113" s="16"/>
      <c r="E113" s="16"/>
      <c r="F113" s="12" t="s">
        <v>13</v>
      </c>
      <c r="G113" s="13">
        <f>STDEV(G107:G111)</f>
        <v>1.0809441706941105</v>
      </c>
      <c r="H113" s="13">
        <f t="shared" ref="H113:K113" si="122">STDEV(H107:H111)</f>
        <v>3.8791278858552963E-2</v>
      </c>
      <c r="I113" s="13">
        <f t="shared" si="122"/>
        <v>55.092935161944304</v>
      </c>
      <c r="J113" s="13">
        <f t="shared" si="122"/>
        <v>0.7607694196407232</v>
      </c>
      <c r="K113" s="13">
        <f t="shared" si="122"/>
        <v>6.506248670466834E-4</v>
      </c>
      <c r="L113" s="20"/>
      <c r="M113" s="12" t="s">
        <v>13</v>
      </c>
      <c r="N113" s="13" t="e">
        <f>STDEV(N107:N111)</f>
        <v>#DIV/0!</v>
      </c>
      <c r="O113" s="13" t="e">
        <f t="shared" ref="O113:R113" si="123">STDEV(O107:O111)</f>
        <v>#DIV/0!</v>
      </c>
      <c r="P113" s="13" t="e">
        <f t="shared" si="123"/>
        <v>#DIV/0!</v>
      </c>
      <c r="Q113" s="13" t="e">
        <f t="shared" si="123"/>
        <v>#DIV/0!</v>
      </c>
      <c r="R113" s="14" t="e">
        <f t="shared" si="123"/>
        <v>#DIV/0!</v>
      </c>
      <c r="U113" s="15">
        <v>16</v>
      </c>
      <c r="V113" s="15" t="s">
        <v>9</v>
      </c>
      <c r="W113" s="6">
        <v>1</v>
      </c>
      <c r="X113" s="7"/>
      <c r="Y113" s="7"/>
      <c r="Z113" s="7"/>
      <c r="AA113" s="7"/>
      <c r="AB113" s="8"/>
      <c r="AC113" s="15" t="s">
        <v>8</v>
      </c>
      <c r="AD113" s="6">
        <v>1</v>
      </c>
      <c r="AE113" s="7"/>
      <c r="AF113" s="7"/>
      <c r="AG113" s="7"/>
      <c r="AH113" s="7"/>
      <c r="AI113" s="8"/>
    </row>
    <row r="114" spans="3:35" x14ac:dyDescent="0.2">
      <c r="C114" s="18"/>
      <c r="D114" s="15" t="s">
        <v>16</v>
      </c>
      <c r="E114" s="15" t="s">
        <v>9</v>
      </c>
      <c r="F114" s="6">
        <v>1</v>
      </c>
      <c r="G114" s="7"/>
      <c r="H114" s="7"/>
      <c r="I114" s="7"/>
      <c r="J114" s="7"/>
      <c r="K114" s="8"/>
      <c r="L114" s="17" t="s">
        <v>14</v>
      </c>
      <c r="M114" s="6">
        <v>1</v>
      </c>
      <c r="N114" s="7"/>
      <c r="O114" s="7"/>
      <c r="P114" s="7"/>
      <c r="Q114" s="7"/>
      <c r="R114" s="8"/>
      <c r="U114" s="16"/>
      <c r="V114" s="16"/>
      <c r="W114" s="9">
        <v>2</v>
      </c>
      <c r="X114" s="10"/>
      <c r="Y114" s="10"/>
      <c r="Z114" s="10"/>
      <c r="AA114" s="10"/>
      <c r="AB114" s="11"/>
      <c r="AC114" s="16"/>
      <c r="AD114" s="9">
        <v>2</v>
      </c>
      <c r="AE114" s="10"/>
      <c r="AF114" s="10"/>
      <c r="AG114" s="10"/>
      <c r="AH114" s="10"/>
      <c r="AI114" s="11"/>
    </row>
    <row r="115" spans="3:35" x14ac:dyDescent="0.2">
      <c r="C115" s="18"/>
      <c r="D115" s="16"/>
      <c r="E115" s="16"/>
      <c r="F115" s="9">
        <v>2</v>
      </c>
      <c r="G115" s="10"/>
      <c r="H115" s="10"/>
      <c r="I115" s="10"/>
      <c r="J115" s="10"/>
      <c r="K115" s="11"/>
      <c r="L115" s="18"/>
      <c r="M115" s="9">
        <v>2</v>
      </c>
      <c r="N115" s="10"/>
      <c r="O115" s="10"/>
      <c r="P115" s="10"/>
      <c r="Q115" s="10"/>
      <c r="R115" s="11"/>
      <c r="U115" s="16"/>
      <c r="V115" s="16"/>
      <c r="W115" s="9">
        <v>3</v>
      </c>
      <c r="X115" s="10"/>
      <c r="Y115" s="10"/>
      <c r="Z115" s="10"/>
      <c r="AA115" s="10"/>
      <c r="AB115" s="11"/>
      <c r="AC115" s="16"/>
      <c r="AD115" s="9">
        <v>3</v>
      </c>
      <c r="AE115" s="10"/>
      <c r="AF115" s="10"/>
      <c r="AG115" s="10"/>
      <c r="AH115" s="10"/>
      <c r="AI115" s="11"/>
    </row>
    <row r="116" spans="3:35" x14ac:dyDescent="0.2">
      <c r="C116" s="18"/>
      <c r="D116" s="16"/>
      <c r="E116" s="16"/>
      <c r="F116" s="9">
        <v>3</v>
      </c>
      <c r="G116" s="10"/>
      <c r="H116" s="10"/>
      <c r="I116" s="10"/>
      <c r="J116" s="10"/>
      <c r="K116" s="11"/>
      <c r="L116" s="18"/>
      <c r="M116" s="9">
        <v>3</v>
      </c>
      <c r="N116" s="10"/>
      <c r="O116" s="10"/>
      <c r="P116" s="10"/>
      <c r="Q116" s="10"/>
      <c r="R116" s="11"/>
      <c r="U116" s="16"/>
      <c r="V116" s="16"/>
      <c r="W116" s="9"/>
      <c r="X116" s="19"/>
      <c r="Y116" s="19"/>
      <c r="Z116" s="10"/>
      <c r="AA116" s="10"/>
      <c r="AB116" s="11"/>
      <c r="AC116" s="16"/>
      <c r="AD116" s="9"/>
      <c r="AE116" s="19"/>
      <c r="AF116" s="19"/>
      <c r="AG116" s="10"/>
      <c r="AH116" s="10"/>
      <c r="AI116" s="11"/>
    </row>
    <row r="117" spans="3:35" x14ac:dyDescent="0.2">
      <c r="C117" s="18"/>
      <c r="D117" s="16"/>
      <c r="E117" s="16"/>
      <c r="F117" s="9"/>
      <c r="G117" s="19"/>
      <c r="H117" s="19"/>
      <c r="I117" s="10"/>
      <c r="J117" s="10"/>
      <c r="K117" s="11"/>
      <c r="L117" s="18"/>
      <c r="M117" s="9"/>
      <c r="N117" s="19"/>
      <c r="O117" s="19"/>
      <c r="P117" s="10"/>
      <c r="Q117" s="10"/>
      <c r="R117" s="11"/>
      <c r="U117" s="16"/>
      <c r="V117" s="16"/>
      <c r="W117" s="9"/>
      <c r="X117" s="19"/>
      <c r="Y117" s="19"/>
      <c r="Z117" s="10"/>
      <c r="AA117" s="10"/>
      <c r="AB117" s="11"/>
      <c r="AC117" s="16"/>
      <c r="AD117" s="9"/>
      <c r="AE117" s="19"/>
      <c r="AF117" s="19"/>
      <c r="AG117" s="10"/>
      <c r="AH117" s="10"/>
      <c r="AI117" s="11"/>
    </row>
    <row r="118" spans="3:35" x14ac:dyDescent="0.2">
      <c r="C118" s="18"/>
      <c r="D118" s="16"/>
      <c r="E118" s="16"/>
      <c r="F118" s="9"/>
      <c r="G118" s="19"/>
      <c r="H118" s="19"/>
      <c r="I118" s="10"/>
      <c r="J118" s="10"/>
      <c r="K118" s="11"/>
      <c r="L118" s="18"/>
      <c r="M118" s="9"/>
      <c r="N118" s="19"/>
      <c r="O118" s="19"/>
      <c r="P118" s="10"/>
      <c r="Q118" s="10"/>
      <c r="R118" s="11"/>
      <c r="U118" s="16"/>
      <c r="V118" s="16"/>
      <c r="W118" s="9" t="s">
        <v>12</v>
      </c>
      <c r="X118" s="10">
        <f>(X113+X114+X115)/3</f>
        <v>0</v>
      </c>
      <c r="Y118" s="10">
        <f t="shared" ref="Y118:AB118" si="124">(Y113+Y114+Y115)/3</f>
        <v>0</v>
      </c>
      <c r="Z118" s="10">
        <f t="shared" si="124"/>
        <v>0</v>
      </c>
      <c r="AA118" s="10">
        <f t="shared" si="124"/>
        <v>0</v>
      </c>
      <c r="AB118" s="10">
        <f t="shared" si="124"/>
        <v>0</v>
      </c>
      <c r="AC118" s="16"/>
      <c r="AD118" s="9" t="s">
        <v>12</v>
      </c>
      <c r="AE118" s="10">
        <f>(AE113+AE114+AE115)/3</f>
        <v>0</v>
      </c>
      <c r="AF118" s="10">
        <f t="shared" ref="AF118:AI118" si="125">(AF113+AF114+AF115)/3</f>
        <v>0</v>
      </c>
      <c r="AG118" s="10">
        <f t="shared" si="125"/>
        <v>0</v>
      </c>
      <c r="AH118" s="10">
        <f t="shared" si="125"/>
        <v>0</v>
      </c>
      <c r="AI118" s="10">
        <f t="shared" si="125"/>
        <v>0</v>
      </c>
    </row>
    <row r="119" spans="3:35" x14ac:dyDescent="0.2">
      <c r="C119" s="18"/>
      <c r="D119" s="16"/>
      <c r="E119" s="16"/>
      <c r="F119" s="9" t="s">
        <v>12</v>
      </c>
      <c r="G119" s="10">
        <f>(G114+G115+G116)/3</f>
        <v>0</v>
      </c>
      <c r="H119" s="10">
        <f t="shared" ref="H119:K119" si="126">(H114+H115+H116)/3</f>
        <v>0</v>
      </c>
      <c r="I119" s="10">
        <f t="shared" si="126"/>
        <v>0</v>
      </c>
      <c r="J119" s="10">
        <f t="shared" si="126"/>
        <v>0</v>
      </c>
      <c r="K119" s="10">
        <f t="shared" si="126"/>
        <v>0</v>
      </c>
      <c r="L119" s="18"/>
      <c r="M119" s="9" t="s">
        <v>12</v>
      </c>
      <c r="N119" s="10">
        <f>(N114+N115+N116)/3</f>
        <v>0</v>
      </c>
      <c r="O119" s="10">
        <f t="shared" ref="O119:R119" si="127">(O114+O115+O116)/3</f>
        <v>0</v>
      </c>
      <c r="P119" s="10">
        <f t="shared" si="127"/>
        <v>0</v>
      </c>
      <c r="Q119" s="10">
        <f t="shared" si="127"/>
        <v>0</v>
      </c>
      <c r="R119" s="11">
        <f t="shared" si="127"/>
        <v>0</v>
      </c>
      <c r="U119" s="16"/>
      <c r="V119" s="16"/>
      <c r="W119" s="12" t="s">
        <v>13</v>
      </c>
      <c r="X119" s="13" t="e">
        <f>STDEV(X113:X117)</f>
        <v>#DIV/0!</v>
      </c>
      <c r="Y119" s="13" t="e">
        <f t="shared" ref="Y119:AB119" si="128">STDEV(Y113:Y117)</f>
        <v>#DIV/0!</v>
      </c>
      <c r="Z119" s="13" t="e">
        <f t="shared" si="128"/>
        <v>#DIV/0!</v>
      </c>
      <c r="AA119" s="13" t="e">
        <f t="shared" si="128"/>
        <v>#DIV/0!</v>
      </c>
      <c r="AB119" s="13" t="e">
        <f t="shared" si="128"/>
        <v>#DIV/0!</v>
      </c>
      <c r="AC119" s="16"/>
      <c r="AD119" s="12" t="s">
        <v>13</v>
      </c>
      <c r="AE119" s="13" t="e">
        <f>STDEV(AE113:AE117)</f>
        <v>#DIV/0!</v>
      </c>
      <c r="AF119" s="13" t="e">
        <f t="shared" ref="AF119:AI119" si="129">STDEV(AF113:AF117)</f>
        <v>#DIV/0!</v>
      </c>
      <c r="AG119" s="13" t="e">
        <f t="shared" si="129"/>
        <v>#DIV/0!</v>
      </c>
      <c r="AH119" s="13" t="e">
        <f t="shared" si="129"/>
        <v>#DIV/0!</v>
      </c>
      <c r="AI119" s="13" t="e">
        <f t="shared" si="129"/>
        <v>#DIV/0!</v>
      </c>
    </row>
    <row r="120" spans="3:35" x14ac:dyDescent="0.2">
      <c r="C120" s="18"/>
      <c r="D120" s="16"/>
      <c r="E120" s="16"/>
      <c r="F120" s="12" t="s">
        <v>13</v>
      </c>
      <c r="G120" s="13" t="e">
        <f>STDEV(G114:G118)</f>
        <v>#DIV/0!</v>
      </c>
      <c r="H120" s="13" t="e">
        <f t="shared" ref="H120:K120" si="130">STDEV(H114:H118)</f>
        <v>#DIV/0!</v>
      </c>
      <c r="I120" s="13" t="e">
        <f t="shared" si="130"/>
        <v>#DIV/0!</v>
      </c>
      <c r="J120" s="13" t="e">
        <f t="shared" si="130"/>
        <v>#DIV/0!</v>
      </c>
      <c r="K120" s="13" t="e">
        <f t="shared" si="130"/>
        <v>#DIV/0!</v>
      </c>
      <c r="L120" s="20"/>
      <c r="M120" s="12" t="s">
        <v>13</v>
      </c>
      <c r="N120" s="13" t="e">
        <f>STDEV(N114:N118)</f>
        <v>#DIV/0!</v>
      </c>
      <c r="O120" s="13" t="e">
        <f t="shared" ref="O120:R120" si="131">STDEV(O114:O118)</f>
        <v>#DIV/0!</v>
      </c>
      <c r="P120" s="13" t="e">
        <f t="shared" si="131"/>
        <v>#DIV/0!</v>
      </c>
      <c r="Q120" s="13" t="e">
        <f t="shared" si="131"/>
        <v>#DIV/0!</v>
      </c>
      <c r="R120" s="14" t="e">
        <f t="shared" si="131"/>
        <v>#DIV/0!</v>
      </c>
    </row>
    <row r="121" spans="3:35" x14ac:dyDescent="0.2">
      <c r="C121" s="18"/>
      <c r="D121" s="15" t="s">
        <v>17</v>
      </c>
      <c r="E121" s="15" t="s">
        <v>9</v>
      </c>
      <c r="F121" s="6">
        <v>1</v>
      </c>
      <c r="G121" s="7"/>
      <c r="H121" s="7"/>
      <c r="I121" s="7"/>
      <c r="J121" s="7"/>
      <c r="K121" s="8"/>
      <c r="L121" s="17" t="s">
        <v>14</v>
      </c>
      <c r="M121" s="6">
        <v>1</v>
      </c>
      <c r="N121" s="7"/>
      <c r="O121" s="7"/>
      <c r="P121" s="7"/>
      <c r="Q121" s="7"/>
      <c r="R121" s="8"/>
    </row>
    <row r="122" spans="3:35" x14ac:dyDescent="0.2">
      <c r="C122" s="18"/>
      <c r="D122" s="16"/>
      <c r="E122" s="16"/>
      <c r="F122" s="9">
        <v>2</v>
      </c>
      <c r="G122" s="10"/>
      <c r="H122" s="10"/>
      <c r="I122" s="10"/>
      <c r="J122" s="10"/>
      <c r="K122" s="11"/>
      <c r="L122" s="18"/>
      <c r="M122" s="9">
        <v>2</v>
      </c>
      <c r="N122" s="10"/>
      <c r="O122" s="10"/>
      <c r="P122" s="10"/>
      <c r="Q122" s="10"/>
      <c r="R122" s="11"/>
    </row>
    <row r="123" spans="3:35" x14ac:dyDescent="0.2">
      <c r="C123" s="18"/>
      <c r="D123" s="16"/>
      <c r="E123" s="16"/>
      <c r="F123" s="9">
        <v>3</v>
      </c>
      <c r="G123" s="10"/>
      <c r="H123" s="10"/>
      <c r="I123" s="10"/>
      <c r="J123" s="10"/>
      <c r="K123" s="11"/>
      <c r="L123" s="18"/>
      <c r="M123" s="9">
        <v>3</v>
      </c>
      <c r="N123" s="10"/>
      <c r="O123" s="10"/>
      <c r="P123" s="10"/>
      <c r="Q123" s="10"/>
      <c r="R123" s="11"/>
    </row>
    <row r="124" spans="3:35" x14ac:dyDescent="0.2">
      <c r="C124" s="18"/>
      <c r="D124" s="16"/>
      <c r="E124" s="16"/>
      <c r="F124" s="9"/>
      <c r="G124" s="19"/>
      <c r="H124" s="19"/>
      <c r="I124" s="10"/>
      <c r="J124" s="10"/>
      <c r="K124" s="11"/>
      <c r="L124" s="18"/>
      <c r="M124" s="9"/>
      <c r="N124" s="19"/>
      <c r="O124" s="19"/>
      <c r="P124" s="10"/>
      <c r="Q124" s="10"/>
      <c r="R124" s="11"/>
    </row>
    <row r="125" spans="3:35" x14ac:dyDescent="0.2">
      <c r="C125" s="18"/>
      <c r="D125" s="16"/>
      <c r="E125" s="16"/>
      <c r="F125" s="9"/>
      <c r="G125" s="19"/>
      <c r="H125" s="19"/>
      <c r="I125" s="10"/>
      <c r="J125" s="10"/>
      <c r="K125" s="11"/>
      <c r="L125" s="18"/>
      <c r="M125" s="9"/>
      <c r="N125" s="19"/>
      <c r="O125" s="19"/>
      <c r="P125" s="10"/>
      <c r="Q125" s="10"/>
      <c r="R125" s="11"/>
    </row>
    <row r="126" spans="3:35" x14ac:dyDescent="0.2">
      <c r="C126" s="18"/>
      <c r="D126" s="16"/>
      <c r="E126" s="16"/>
      <c r="F126" s="9" t="s">
        <v>12</v>
      </c>
      <c r="G126" s="10">
        <f>(G121+G122+G123)/3</f>
        <v>0</v>
      </c>
      <c r="H126" s="10">
        <f t="shared" ref="H126:K126" si="132">(H121+H122+H123)/3</f>
        <v>0</v>
      </c>
      <c r="I126" s="10">
        <f t="shared" si="132"/>
        <v>0</v>
      </c>
      <c r="J126" s="10">
        <f t="shared" si="132"/>
        <v>0</v>
      </c>
      <c r="K126" s="10">
        <f t="shared" si="132"/>
        <v>0</v>
      </c>
      <c r="L126" s="18"/>
      <c r="M126" s="9" t="s">
        <v>12</v>
      </c>
      <c r="N126" s="10">
        <f>(N121+N122+N123)/3</f>
        <v>0</v>
      </c>
      <c r="O126" s="10">
        <f t="shared" ref="O126:R126" si="133">(O121+O122+O123)/3</f>
        <v>0</v>
      </c>
      <c r="P126" s="10">
        <f t="shared" si="133"/>
        <v>0</v>
      </c>
      <c r="Q126" s="10">
        <f t="shared" si="133"/>
        <v>0</v>
      </c>
      <c r="R126" s="11">
        <f t="shared" si="133"/>
        <v>0</v>
      </c>
    </row>
    <row r="127" spans="3:35" x14ac:dyDescent="0.2">
      <c r="C127" s="18"/>
      <c r="D127" s="16"/>
      <c r="E127" s="16"/>
      <c r="F127" s="12" t="s">
        <v>13</v>
      </c>
      <c r="G127" s="13" t="e">
        <f>STDEV(G121:G125)</f>
        <v>#DIV/0!</v>
      </c>
      <c r="H127" s="13" t="e">
        <f t="shared" ref="H127:K127" si="134">STDEV(H121:H125)</f>
        <v>#DIV/0!</v>
      </c>
      <c r="I127" s="13" t="e">
        <f t="shared" si="134"/>
        <v>#DIV/0!</v>
      </c>
      <c r="J127" s="13" t="e">
        <f t="shared" si="134"/>
        <v>#DIV/0!</v>
      </c>
      <c r="K127" s="13" t="e">
        <f t="shared" si="134"/>
        <v>#DIV/0!</v>
      </c>
      <c r="L127" s="20"/>
      <c r="M127" s="12" t="s">
        <v>13</v>
      </c>
      <c r="N127" s="13" t="e">
        <f>STDEV(N121:N125)</f>
        <v>#DIV/0!</v>
      </c>
      <c r="O127" s="13" t="e">
        <f t="shared" ref="O127:R127" si="135">STDEV(O121:O125)</f>
        <v>#DIV/0!</v>
      </c>
      <c r="P127" s="13" t="e">
        <f t="shared" si="135"/>
        <v>#DIV/0!</v>
      </c>
      <c r="Q127" s="13" t="e">
        <f t="shared" si="135"/>
        <v>#DIV/0!</v>
      </c>
      <c r="R127" s="14" t="e">
        <f t="shared" si="135"/>
        <v>#DIV/0!</v>
      </c>
    </row>
    <row r="128" spans="3:35" x14ac:dyDescent="0.2">
      <c r="C128" s="18"/>
      <c r="D128" s="21" t="s">
        <v>18</v>
      </c>
      <c r="E128" s="15" t="s">
        <v>9</v>
      </c>
      <c r="F128" s="6">
        <v>1</v>
      </c>
      <c r="G128" s="7"/>
      <c r="H128" s="7"/>
      <c r="I128" s="7"/>
      <c r="J128" s="7"/>
      <c r="K128" s="8"/>
      <c r="L128" s="17" t="s">
        <v>14</v>
      </c>
      <c r="M128" s="6">
        <v>1</v>
      </c>
      <c r="N128" s="7"/>
      <c r="O128" s="7"/>
      <c r="P128" s="7"/>
      <c r="Q128" s="7"/>
      <c r="R128" s="8"/>
    </row>
    <row r="129" spans="3:18" x14ac:dyDescent="0.2">
      <c r="C129" s="18"/>
      <c r="D129" s="16"/>
      <c r="E129" s="16"/>
      <c r="F129" s="9">
        <v>2</v>
      </c>
      <c r="G129" s="10"/>
      <c r="H129" s="10"/>
      <c r="I129" s="10"/>
      <c r="J129" s="10"/>
      <c r="K129" s="11"/>
      <c r="L129" s="18"/>
      <c r="M129" s="9">
        <v>2</v>
      </c>
      <c r="N129" s="10"/>
      <c r="O129" s="10"/>
      <c r="P129" s="10"/>
      <c r="Q129" s="10"/>
      <c r="R129" s="11"/>
    </row>
    <row r="130" spans="3:18" x14ac:dyDescent="0.2">
      <c r="C130" s="18"/>
      <c r="D130" s="16"/>
      <c r="E130" s="16"/>
      <c r="F130" s="9">
        <v>3</v>
      </c>
      <c r="G130" s="10"/>
      <c r="H130" s="10"/>
      <c r="I130" s="10"/>
      <c r="J130" s="10"/>
      <c r="K130" s="11"/>
      <c r="L130" s="18"/>
      <c r="M130" s="9">
        <v>3</v>
      </c>
      <c r="N130" s="10"/>
      <c r="O130" s="10"/>
      <c r="P130" s="10"/>
      <c r="Q130" s="10"/>
      <c r="R130" s="11"/>
    </row>
    <row r="131" spans="3:18" x14ac:dyDescent="0.2">
      <c r="C131" s="18"/>
      <c r="D131" s="16"/>
      <c r="E131" s="16"/>
      <c r="F131" s="9"/>
      <c r="G131" s="19"/>
      <c r="H131" s="19"/>
      <c r="I131" s="10"/>
      <c r="J131" s="10"/>
      <c r="K131" s="11"/>
      <c r="L131" s="18"/>
      <c r="M131" s="9"/>
      <c r="N131" s="19"/>
      <c r="O131" s="19"/>
      <c r="P131" s="10"/>
      <c r="Q131" s="10"/>
      <c r="R131" s="11"/>
    </row>
    <row r="132" spans="3:18" x14ac:dyDescent="0.2">
      <c r="C132" s="18"/>
      <c r="D132" s="16"/>
      <c r="E132" s="16"/>
      <c r="F132" s="9"/>
      <c r="G132" s="19"/>
      <c r="H132" s="19"/>
      <c r="I132" s="10"/>
      <c r="J132" s="10"/>
      <c r="K132" s="11"/>
      <c r="L132" s="18"/>
      <c r="M132" s="9"/>
      <c r="N132" s="19"/>
      <c r="O132" s="19"/>
      <c r="P132" s="10"/>
      <c r="Q132" s="10"/>
      <c r="R132" s="11"/>
    </row>
    <row r="133" spans="3:18" x14ac:dyDescent="0.2">
      <c r="C133" s="18"/>
      <c r="D133" s="16"/>
      <c r="E133" s="16"/>
      <c r="F133" s="9" t="s">
        <v>12</v>
      </c>
      <c r="G133" s="10">
        <f>(G128+G129+G130)/3</f>
        <v>0</v>
      </c>
      <c r="H133" s="10">
        <f t="shared" ref="H133:K133" si="136">(H128+H129+H130)/3</f>
        <v>0</v>
      </c>
      <c r="I133" s="10">
        <f t="shared" si="136"/>
        <v>0</v>
      </c>
      <c r="J133" s="10">
        <f t="shared" si="136"/>
        <v>0</v>
      </c>
      <c r="K133" s="10">
        <f t="shared" si="136"/>
        <v>0</v>
      </c>
      <c r="L133" s="18"/>
      <c r="M133" s="9" t="s">
        <v>12</v>
      </c>
      <c r="N133" s="10">
        <f>(N128+N129+N130)/3</f>
        <v>0</v>
      </c>
      <c r="O133" s="10">
        <f t="shared" ref="O133:R133" si="137">(O128+O129+O130)/3</f>
        <v>0</v>
      </c>
      <c r="P133" s="10">
        <f t="shared" si="137"/>
        <v>0</v>
      </c>
      <c r="Q133" s="10">
        <f t="shared" si="137"/>
        <v>0</v>
      </c>
      <c r="R133" s="11">
        <f t="shared" si="137"/>
        <v>0</v>
      </c>
    </row>
    <row r="134" spans="3:18" x14ac:dyDescent="0.2">
      <c r="C134" s="18"/>
      <c r="D134" s="16"/>
      <c r="E134" s="16"/>
      <c r="F134" s="12" t="s">
        <v>13</v>
      </c>
      <c r="G134" s="13" t="e">
        <f>STDEV(G128:G132)</f>
        <v>#DIV/0!</v>
      </c>
      <c r="H134" s="13" t="e">
        <f t="shared" ref="H134:K134" si="138">STDEV(H128:H132)</f>
        <v>#DIV/0!</v>
      </c>
      <c r="I134" s="13" t="e">
        <f t="shared" si="138"/>
        <v>#DIV/0!</v>
      </c>
      <c r="J134" s="13" t="e">
        <f t="shared" si="138"/>
        <v>#DIV/0!</v>
      </c>
      <c r="K134" s="13" t="e">
        <f t="shared" si="138"/>
        <v>#DIV/0!</v>
      </c>
      <c r="L134" s="20"/>
      <c r="M134" s="12" t="s">
        <v>13</v>
      </c>
      <c r="N134" s="13" t="e">
        <f>STDEV(N128:N132)</f>
        <v>#DIV/0!</v>
      </c>
      <c r="O134" s="13" t="e">
        <f t="shared" ref="O134:R134" si="139">STDEV(O128:O132)</f>
        <v>#DIV/0!</v>
      </c>
      <c r="P134" s="13" t="e">
        <f t="shared" si="139"/>
        <v>#DIV/0!</v>
      </c>
      <c r="Q134" s="13" t="e">
        <f t="shared" si="139"/>
        <v>#DIV/0!</v>
      </c>
      <c r="R134" s="14" t="e">
        <f t="shared" si="139"/>
        <v>#DIV/0!</v>
      </c>
    </row>
    <row r="135" spans="3:18" x14ac:dyDescent="0.2">
      <c r="C135" s="18"/>
      <c r="D135" s="21" t="s">
        <v>19</v>
      </c>
      <c r="E135" s="15" t="s">
        <v>9</v>
      </c>
      <c r="F135" s="6">
        <v>1</v>
      </c>
      <c r="G135" s="7"/>
      <c r="H135" s="7"/>
      <c r="I135" s="7"/>
      <c r="J135" s="7"/>
      <c r="K135" s="8"/>
      <c r="L135" s="17" t="s">
        <v>14</v>
      </c>
      <c r="M135" s="6">
        <v>1</v>
      </c>
      <c r="N135" s="7"/>
      <c r="O135" s="7"/>
      <c r="P135" s="7"/>
      <c r="Q135" s="7"/>
      <c r="R135" s="8"/>
    </row>
    <row r="136" spans="3:18" x14ac:dyDescent="0.2">
      <c r="C136" s="18"/>
      <c r="D136" s="16"/>
      <c r="E136" s="16"/>
      <c r="F136" s="9">
        <v>2</v>
      </c>
      <c r="G136" s="10"/>
      <c r="H136" s="10"/>
      <c r="I136" s="10"/>
      <c r="J136" s="10"/>
      <c r="K136" s="11"/>
      <c r="L136" s="18"/>
      <c r="M136" s="9">
        <v>2</v>
      </c>
      <c r="N136" s="10"/>
      <c r="O136" s="10"/>
      <c r="P136" s="10"/>
      <c r="Q136" s="10"/>
      <c r="R136" s="11"/>
    </row>
    <row r="137" spans="3:18" x14ac:dyDescent="0.2">
      <c r="C137" s="18"/>
      <c r="D137" s="16"/>
      <c r="E137" s="16"/>
      <c r="F137" s="9">
        <v>3</v>
      </c>
      <c r="G137" s="10"/>
      <c r="H137" s="10"/>
      <c r="I137" s="10"/>
      <c r="J137" s="10"/>
      <c r="K137" s="11"/>
      <c r="L137" s="18"/>
      <c r="M137" s="9">
        <v>3</v>
      </c>
      <c r="N137" s="10"/>
      <c r="O137" s="10"/>
      <c r="P137" s="10"/>
      <c r="Q137" s="10"/>
      <c r="R137" s="11"/>
    </row>
    <row r="138" spans="3:18" x14ac:dyDescent="0.2">
      <c r="C138" s="18"/>
      <c r="D138" s="16"/>
      <c r="E138" s="16"/>
      <c r="F138" s="9"/>
      <c r="G138" s="19"/>
      <c r="H138" s="19"/>
      <c r="I138" s="10"/>
      <c r="J138" s="10"/>
      <c r="K138" s="11"/>
      <c r="L138" s="18"/>
      <c r="M138" s="9"/>
      <c r="N138" s="19"/>
      <c r="O138" s="19"/>
      <c r="P138" s="10"/>
      <c r="Q138" s="10"/>
      <c r="R138" s="11"/>
    </row>
    <row r="139" spans="3:18" x14ac:dyDescent="0.2">
      <c r="C139" s="18"/>
      <c r="D139" s="16"/>
      <c r="E139" s="16"/>
      <c r="F139" s="9"/>
      <c r="G139" s="19"/>
      <c r="H139" s="19"/>
      <c r="I139" s="10"/>
      <c r="J139" s="10"/>
      <c r="K139" s="11"/>
      <c r="L139" s="18"/>
      <c r="M139" s="9"/>
      <c r="N139" s="19"/>
      <c r="O139" s="19"/>
      <c r="P139" s="10"/>
      <c r="Q139" s="10"/>
      <c r="R139" s="11"/>
    </row>
    <row r="140" spans="3:18" x14ac:dyDescent="0.2">
      <c r="C140" s="18"/>
      <c r="D140" s="16"/>
      <c r="E140" s="16"/>
      <c r="F140" s="9" t="s">
        <v>12</v>
      </c>
      <c r="G140" s="10">
        <f>(G135+G136+G137)/3</f>
        <v>0</v>
      </c>
      <c r="H140" s="10">
        <f t="shared" ref="H140:K140" si="140">(H135+H136+H137)/3</f>
        <v>0</v>
      </c>
      <c r="I140" s="10">
        <f t="shared" si="140"/>
        <v>0</v>
      </c>
      <c r="J140" s="10">
        <f t="shared" si="140"/>
        <v>0</v>
      </c>
      <c r="K140" s="10">
        <f t="shared" si="140"/>
        <v>0</v>
      </c>
      <c r="L140" s="18"/>
      <c r="M140" s="9" t="s">
        <v>12</v>
      </c>
      <c r="N140" s="10">
        <f>(N135+N136+N137)/3</f>
        <v>0</v>
      </c>
      <c r="O140" s="10">
        <f t="shared" ref="O140:R140" si="141">(O135+O136+O137)/3</f>
        <v>0</v>
      </c>
      <c r="P140" s="10">
        <f t="shared" si="141"/>
        <v>0</v>
      </c>
      <c r="Q140" s="10">
        <f t="shared" si="141"/>
        <v>0</v>
      </c>
      <c r="R140" s="11">
        <f t="shared" si="141"/>
        <v>0</v>
      </c>
    </row>
    <row r="141" spans="3:18" x14ac:dyDescent="0.2">
      <c r="C141" s="20"/>
      <c r="D141" s="39"/>
      <c r="E141" s="39"/>
      <c r="F141" s="12" t="s">
        <v>13</v>
      </c>
      <c r="G141" s="13" t="e">
        <f>STDEV(G135:G139)</f>
        <v>#DIV/0!</v>
      </c>
      <c r="H141" s="13" t="e">
        <f t="shared" ref="H141:K141" si="142">STDEV(H135:H139)</f>
        <v>#DIV/0!</v>
      </c>
      <c r="I141" s="13" t="e">
        <f t="shared" si="142"/>
        <v>#DIV/0!</v>
      </c>
      <c r="J141" s="13" t="e">
        <f t="shared" si="142"/>
        <v>#DIV/0!</v>
      </c>
      <c r="K141" s="13" t="e">
        <f t="shared" si="142"/>
        <v>#DIV/0!</v>
      </c>
      <c r="L141" s="20"/>
      <c r="M141" s="12" t="s">
        <v>13</v>
      </c>
      <c r="N141" s="13" t="e">
        <f>STDEV(N135:N139)</f>
        <v>#DIV/0!</v>
      </c>
      <c r="O141" s="13" t="e">
        <f t="shared" ref="O141:R141" si="143">STDEV(O135:O139)</f>
        <v>#DIV/0!</v>
      </c>
      <c r="P141" s="13" t="e">
        <f t="shared" si="143"/>
        <v>#DIV/0!</v>
      </c>
      <c r="Q141" s="13" t="e">
        <f t="shared" si="143"/>
        <v>#DIV/0!</v>
      </c>
      <c r="R141" s="14" t="e">
        <f t="shared" si="143"/>
        <v>#DIV/0!</v>
      </c>
    </row>
  </sheetData>
  <mergeCells count="113">
    <mergeCell ref="E121:E127"/>
    <mergeCell ref="L121:L127"/>
    <mergeCell ref="D128:D134"/>
    <mergeCell ref="E128:E134"/>
    <mergeCell ref="L128:L134"/>
    <mergeCell ref="D135:D141"/>
    <mergeCell ref="E135:E141"/>
    <mergeCell ref="L135:L141"/>
    <mergeCell ref="D100:D106"/>
    <mergeCell ref="E100:E106"/>
    <mergeCell ref="C107:C141"/>
    <mergeCell ref="D107:D113"/>
    <mergeCell ref="E107:E113"/>
    <mergeCell ref="L107:L113"/>
    <mergeCell ref="D114:D120"/>
    <mergeCell ref="E114:E120"/>
    <mergeCell ref="L114:L120"/>
    <mergeCell ref="D121:D127"/>
    <mergeCell ref="D79:D85"/>
    <mergeCell ref="E79:E85"/>
    <mergeCell ref="L79:L85"/>
    <mergeCell ref="D86:D92"/>
    <mergeCell ref="E86:E92"/>
    <mergeCell ref="D93:D99"/>
    <mergeCell ref="E93:E99"/>
    <mergeCell ref="U106:U112"/>
    <mergeCell ref="V106:V112"/>
    <mergeCell ref="AC106:AC112"/>
    <mergeCell ref="U113:U119"/>
    <mergeCell ref="V113:V119"/>
    <mergeCell ref="AC113:AC119"/>
    <mergeCell ref="U92:U98"/>
    <mergeCell ref="V92:V98"/>
    <mergeCell ref="AC92:AC98"/>
    <mergeCell ref="U99:U105"/>
    <mergeCell ref="V99:V105"/>
    <mergeCell ref="AC99:AC105"/>
    <mergeCell ref="U76:U82"/>
    <mergeCell ref="V76:V82"/>
    <mergeCell ref="AC76:AC82"/>
    <mergeCell ref="U83:U89"/>
    <mergeCell ref="V83:V89"/>
    <mergeCell ref="AC83:AC89"/>
    <mergeCell ref="U62:U68"/>
    <mergeCell ref="V62:V68"/>
    <mergeCell ref="AC62:AC68"/>
    <mergeCell ref="U69:U75"/>
    <mergeCell ref="V69:V75"/>
    <mergeCell ref="AC69:AC75"/>
    <mergeCell ref="U46:U52"/>
    <mergeCell ref="V46:V52"/>
    <mergeCell ref="AC46:AC52"/>
    <mergeCell ref="U53:U59"/>
    <mergeCell ref="V53:V59"/>
    <mergeCell ref="AC53:AC59"/>
    <mergeCell ref="U32:U38"/>
    <mergeCell ref="V32:V38"/>
    <mergeCell ref="AC32:AC38"/>
    <mergeCell ref="U39:U45"/>
    <mergeCell ref="V39:V45"/>
    <mergeCell ref="AC39:AC45"/>
    <mergeCell ref="V2:V8"/>
    <mergeCell ref="V9:V15"/>
    <mergeCell ref="V16:V22"/>
    <mergeCell ref="V23:V29"/>
    <mergeCell ref="AC2:AC8"/>
    <mergeCell ref="AC9:AC15"/>
    <mergeCell ref="AC16:AC22"/>
    <mergeCell ref="AC23:AC29"/>
    <mergeCell ref="U2:U8"/>
    <mergeCell ref="U9:U15"/>
    <mergeCell ref="U16:U22"/>
    <mergeCell ref="U23:U29"/>
    <mergeCell ref="L100:L106"/>
    <mergeCell ref="B2:B71"/>
    <mergeCell ref="C72:C106"/>
    <mergeCell ref="D72:D78"/>
    <mergeCell ref="E72:E78"/>
    <mergeCell ref="L72:L78"/>
    <mergeCell ref="L86:L92"/>
    <mergeCell ref="L93:L99"/>
    <mergeCell ref="D65:D71"/>
    <mergeCell ref="E65:E71"/>
    <mergeCell ref="L65:L71"/>
    <mergeCell ref="D51:D57"/>
    <mergeCell ref="E51:E57"/>
    <mergeCell ref="L51:L57"/>
    <mergeCell ref="D58:D64"/>
    <mergeCell ref="E58:E64"/>
    <mergeCell ref="L58:L64"/>
    <mergeCell ref="D37:D43"/>
    <mergeCell ref="E37:E43"/>
    <mergeCell ref="L37:L43"/>
    <mergeCell ref="D44:D50"/>
    <mergeCell ref="E44:E50"/>
    <mergeCell ref="L44:L50"/>
    <mergeCell ref="C37:C71"/>
    <mergeCell ref="L2:L8"/>
    <mergeCell ref="L9:L15"/>
    <mergeCell ref="L16:L22"/>
    <mergeCell ref="L23:L29"/>
    <mergeCell ref="L30:L36"/>
    <mergeCell ref="D2:D8"/>
    <mergeCell ref="D9:D15"/>
    <mergeCell ref="D16:D22"/>
    <mergeCell ref="D23:D29"/>
    <mergeCell ref="D30:D36"/>
    <mergeCell ref="E2:E8"/>
    <mergeCell ref="E9:E15"/>
    <mergeCell ref="E16:E22"/>
    <mergeCell ref="E23:E29"/>
    <mergeCell ref="E30:E36"/>
    <mergeCell ref="C2:C3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一航 马</cp:lastModifiedBy>
  <dcterms:created xsi:type="dcterms:W3CDTF">2015-06-05T18:17:20Z</dcterms:created>
  <dcterms:modified xsi:type="dcterms:W3CDTF">2025-09-07T14:51:43Z</dcterms:modified>
</cp:coreProperties>
</file>